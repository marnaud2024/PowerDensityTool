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32512dcb0b35af0/Estudos/UFC/GPEC/Função MATLAB/Powder Cores Data/"/>
    </mc:Choice>
  </mc:AlternateContent>
  <xr:revisionPtr revIDLastSave="2" documentId="8_{AB52CBAD-94EE-4FB5-B5DD-5EAD95E2C598}" xr6:coauthVersionLast="47" xr6:coauthVersionMax="47" xr10:uidLastSave="{38A39CD5-BC17-4AEF-BAF8-83258AD6D655}"/>
  <bookViews>
    <workbookView xWindow="-23148" yWindow="-108" windowWidth="23256" windowHeight="12456" tabRatio="763" xr2:uid="{00000000-000D-0000-FFFF-FFFF00000000}"/>
  </bookViews>
  <sheets>
    <sheet name="Magnetics Curve Fit Equations" sheetId="1" r:id="rId1"/>
  </sheets>
  <definedNames>
    <definedName name="_xlnm.Print_Area" localSheetId="0">'Magnetics Curve Fit Equations'!$B$2:$AS$32</definedName>
    <definedName name="input">'Magnetics Curve Fit Equations'!#REF!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1" l="1"/>
  <c r="Y24" i="1"/>
  <c r="Y23" i="1"/>
  <c r="Y48" i="1"/>
  <c r="Y47" i="1"/>
  <c r="G48" i="1"/>
  <c r="H48" i="1" s="1"/>
  <c r="G47" i="1"/>
  <c r="H47" i="1" s="1"/>
  <c r="G25" i="1"/>
  <c r="H25" i="1" s="1"/>
  <c r="G24" i="1"/>
  <c r="H24" i="1" s="1"/>
  <c r="G23" i="1"/>
  <c r="H23" i="1" s="1"/>
  <c r="O25" i="1"/>
  <c r="O24" i="1"/>
  <c r="O23" i="1"/>
  <c r="O45" i="1"/>
  <c r="O44" i="1"/>
  <c r="AR37" i="1" l="1"/>
  <c r="AS37" i="1" s="1"/>
  <c r="AR36" i="1"/>
  <c r="AS36" i="1" s="1"/>
  <c r="AR22" i="1"/>
  <c r="AR23" i="1"/>
  <c r="AR24" i="1"/>
  <c r="AS24" i="1" l="1"/>
  <c r="AS23" i="1"/>
  <c r="AS22" i="1"/>
  <c r="AH30" i="1"/>
  <c r="AI30" i="1" s="1"/>
  <c r="AH29" i="1"/>
  <c r="AI29" i="1" s="1"/>
  <c r="AH22" i="1"/>
  <c r="AI22" i="1" s="1"/>
  <c r="AH23" i="1"/>
  <c r="AI23" i="1" s="1"/>
  <c r="AH24" i="1"/>
  <c r="AI24" i="1" s="1"/>
  <c r="Y123" i="1"/>
  <c r="Y119" i="1"/>
  <c r="Y111" i="1"/>
  <c r="Y107" i="1"/>
  <c r="O111" i="1"/>
  <c r="O107" i="1"/>
  <c r="O99" i="1"/>
  <c r="O95" i="1"/>
  <c r="G123" i="1"/>
  <c r="H123" i="1" s="1"/>
  <c r="G122" i="1"/>
  <c r="H122" i="1" s="1"/>
  <c r="G121" i="1"/>
  <c r="H121" i="1" s="1"/>
  <c r="G119" i="1"/>
  <c r="H119" i="1" s="1"/>
  <c r="G118" i="1"/>
  <c r="H118" i="1" s="1"/>
  <c r="G117" i="1"/>
  <c r="H117" i="1" s="1"/>
  <c r="G111" i="1"/>
  <c r="H111" i="1" s="1"/>
  <c r="G110" i="1"/>
  <c r="H110" i="1" s="1"/>
  <c r="G109" i="1"/>
  <c r="H109" i="1" s="1"/>
  <c r="G107" i="1"/>
  <c r="H107" i="1" s="1"/>
  <c r="G106" i="1"/>
  <c r="H106" i="1" s="1"/>
  <c r="G105" i="1"/>
  <c r="H105" i="1" s="1"/>
  <c r="R157" i="1" l="1"/>
  <c r="Y153" i="1"/>
  <c r="Y152" i="1"/>
  <c r="Y151" i="1"/>
  <c r="Y150" i="1"/>
  <c r="Y149" i="1"/>
  <c r="Y148" i="1"/>
  <c r="Y147" i="1"/>
  <c r="Y146" i="1"/>
  <c r="Y144" i="1"/>
  <c r="Y143" i="1"/>
  <c r="Y142" i="1"/>
  <c r="Y141" i="1"/>
  <c r="Y140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2" i="1"/>
  <c r="Y121" i="1"/>
  <c r="Y120" i="1"/>
  <c r="Y118" i="1"/>
  <c r="Y117" i="1"/>
  <c r="Y116" i="1"/>
  <c r="Y115" i="1"/>
  <c r="Y114" i="1"/>
  <c r="Y113" i="1"/>
  <c r="Y112" i="1"/>
  <c r="Y110" i="1"/>
  <c r="Y109" i="1"/>
  <c r="Y108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6" i="1"/>
  <c r="Y45" i="1"/>
  <c r="Y44" i="1"/>
  <c r="Y43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C157" i="1" l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4" i="1"/>
  <c r="H144" i="1" s="1"/>
  <c r="G143" i="1"/>
  <c r="H143" i="1" s="1"/>
  <c r="G142" i="1"/>
  <c r="H142" i="1" s="1"/>
  <c r="G141" i="1"/>
  <c r="H141" i="1" s="1"/>
  <c r="G140" i="1"/>
  <c r="H140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0" i="1"/>
  <c r="H120" i="1" s="1"/>
  <c r="G116" i="1"/>
  <c r="H116" i="1" s="1"/>
  <c r="G115" i="1"/>
  <c r="H115" i="1" s="1"/>
  <c r="G114" i="1"/>
  <c r="H114" i="1" s="1"/>
  <c r="G113" i="1"/>
  <c r="H113" i="1" s="1"/>
  <c r="G112" i="1"/>
  <c r="H112" i="1" s="1"/>
  <c r="G108" i="1"/>
  <c r="H108" i="1" s="1"/>
  <c r="G104" i="1"/>
  <c r="H104" i="1" s="1"/>
  <c r="G103" i="1"/>
  <c r="H103" i="1" s="1"/>
  <c r="G102" i="1"/>
  <c r="H102" i="1" s="1"/>
  <c r="F101" i="1"/>
  <c r="E101" i="1"/>
  <c r="E100" i="1"/>
  <c r="G100" i="1" s="1"/>
  <c r="H100" i="1" s="1"/>
  <c r="E99" i="1"/>
  <c r="G99" i="1" s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6" i="1"/>
  <c r="H46" i="1" s="1"/>
  <c r="G45" i="1"/>
  <c r="H45" i="1" s="1"/>
  <c r="G44" i="1"/>
  <c r="H44" i="1" s="1"/>
  <c r="G43" i="1"/>
  <c r="H43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101" i="1" l="1"/>
  <c r="H101" i="1" s="1"/>
  <c r="K149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0" i="1"/>
  <c r="O109" i="1"/>
  <c r="O108" i="1"/>
  <c r="O106" i="1"/>
  <c r="O105" i="1"/>
  <c r="O104" i="1"/>
  <c r="O103" i="1"/>
  <c r="O102" i="1"/>
  <c r="O101" i="1"/>
  <c r="O100" i="1"/>
  <c r="O98" i="1"/>
  <c r="O97" i="1"/>
  <c r="O96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6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28" i="1" l="1"/>
  <c r="O27" i="1"/>
  <c r="AR58" i="1" l="1"/>
  <c r="AS58" i="1" s="1"/>
  <c r="AH58" i="1"/>
  <c r="AI58" i="1" s="1"/>
  <c r="AR57" i="1"/>
  <c r="AS57" i="1" s="1"/>
  <c r="AH57" i="1"/>
  <c r="AI57" i="1" s="1"/>
  <c r="AR56" i="1"/>
  <c r="AS56" i="1" s="1"/>
  <c r="AH56" i="1"/>
  <c r="AI56" i="1" s="1"/>
  <c r="AR55" i="1"/>
  <c r="AS55" i="1" s="1"/>
  <c r="AH55" i="1"/>
  <c r="AI55" i="1" s="1"/>
  <c r="AR54" i="1"/>
  <c r="AS54" i="1" s="1"/>
  <c r="AH54" i="1"/>
  <c r="AI54" i="1" s="1"/>
  <c r="AR53" i="1"/>
  <c r="AS53" i="1" s="1"/>
  <c r="AH53" i="1"/>
  <c r="AI53" i="1" s="1"/>
  <c r="AR52" i="1"/>
  <c r="AS52" i="1" s="1"/>
  <c r="AH52" i="1"/>
  <c r="AI52" i="1" s="1"/>
  <c r="AR51" i="1"/>
  <c r="AS51" i="1" s="1"/>
  <c r="AH51" i="1"/>
  <c r="AI51" i="1" s="1"/>
  <c r="AR50" i="1"/>
  <c r="AS50" i="1" s="1"/>
  <c r="AH50" i="1"/>
  <c r="AI50" i="1" s="1"/>
  <c r="AR49" i="1"/>
  <c r="AS49" i="1" s="1"/>
  <c r="AH49" i="1"/>
  <c r="AI49" i="1" s="1"/>
  <c r="AR48" i="1"/>
  <c r="AS48" i="1" s="1"/>
  <c r="AH48" i="1"/>
  <c r="AI48" i="1" s="1"/>
  <c r="AR47" i="1"/>
  <c r="AS47" i="1" s="1"/>
  <c r="AH47" i="1"/>
  <c r="AI47" i="1" s="1"/>
  <c r="AR46" i="1"/>
  <c r="AS46" i="1" s="1"/>
  <c r="AH46" i="1"/>
  <c r="AI46" i="1" s="1"/>
  <c r="AR45" i="1"/>
  <c r="AS45" i="1" s="1"/>
  <c r="AH45" i="1"/>
  <c r="AI45" i="1" s="1"/>
  <c r="AR44" i="1"/>
  <c r="AS44" i="1" s="1"/>
  <c r="AH44" i="1"/>
  <c r="AI44" i="1" s="1"/>
  <c r="AR43" i="1"/>
  <c r="AS43" i="1" s="1"/>
  <c r="AH43" i="1"/>
  <c r="AI43" i="1" s="1"/>
  <c r="AR42" i="1"/>
  <c r="AS42" i="1" s="1"/>
  <c r="AH42" i="1"/>
  <c r="AI42" i="1" s="1"/>
  <c r="AR41" i="1"/>
  <c r="AS41" i="1" s="1"/>
  <c r="AH41" i="1"/>
  <c r="AI41" i="1" s="1"/>
  <c r="AR40" i="1"/>
  <c r="AS40" i="1" s="1"/>
  <c r="AH40" i="1"/>
  <c r="AI40" i="1" s="1"/>
  <c r="AR39" i="1"/>
  <c r="AS39" i="1" s="1"/>
  <c r="AH39" i="1"/>
  <c r="AI39" i="1" s="1"/>
  <c r="AR38" i="1"/>
  <c r="AS38" i="1" s="1"/>
  <c r="AH38" i="1"/>
  <c r="AI38" i="1" s="1"/>
  <c r="AR35" i="1"/>
  <c r="AS35" i="1" s="1"/>
  <c r="AH37" i="1"/>
  <c r="AI37" i="1" s="1"/>
  <c r="AR34" i="1"/>
  <c r="AS34" i="1" s="1"/>
  <c r="AH36" i="1"/>
  <c r="AI36" i="1" s="1"/>
  <c r="AR33" i="1"/>
  <c r="AS33" i="1" s="1"/>
  <c r="AH35" i="1"/>
  <c r="AI35" i="1" s="1"/>
  <c r="AR32" i="1"/>
  <c r="AS32" i="1" s="1"/>
  <c r="AH34" i="1"/>
  <c r="AI34" i="1" s="1"/>
  <c r="AR31" i="1"/>
  <c r="AS31" i="1" s="1"/>
  <c r="AH33" i="1"/>
  <c r="AI33" i="1" s="1"/>
  <c r="AR30" i="1"/>
  <c r="AS30" i="1" s="1"/>
  <c r="AH32" i="1"/>
  <c r="AI32" i="1" s="1"/>
  <c r="AR29" i="1"/>
  <c r="AS29" i="1" s="1"/>
  <c r="AH31" i="1"/>
  <c r="AI31" i="1" s="1"/>
  <c r="AR28" i="1"/>
  <c r="AS28" i="1" s="1"/>
  <c r="AH28" i="1"/>
  <c r="AI28" i="1" s="1"/>
  <c r="AR27" i="1"/>
  <c r="AS27" i="1" s="1"/>
  <c r="AH27" i="1"/>
  <c r="AI27" i="1" s="1"/>
  <c r="AR26" i="1"/>
  <c r="AS26" i="1" s="1"/>
  <c r="AH26" i="1"/>
  <c r="AI26" i="1" s="1"/>
  <c r="AR25" i="1"/>
  <c r="AS25" i="1" s="1"/>
  <c r="AH25" i="1"/>
  <c r="AI25" i="1" s="1"/>
  <c r="AR21" i="1"/>
  <c r="AS21" i="1" s="1"/>
  <c r="AH21" i="1"/>
  <c r="AI21" i="1" s="1"/>
  <c r="AR20" i="1"/>
  <c r="AS20" i="1" s="1"/>
  <c r="AH20" i="1"/>
  <c r="AI20" i="1" s="1"/>
  <c r="AR19" i="1"/>
  <c r="AS19" i="1" s="1"/>
  <c r="AH19" i="1"/>
  <c r="AI19" i="1" s="1"/>
  <c r="AR18" i="1"/>
  <c r="AS18" i="1" s="1"/>
  <c r="AH18" i="1"/>
  <c r="AI18" i="1" s="1"/>
  <c r="AR17" i="1"/>
  <c r="AS17" i="1" s="1"/>
  <c r="AH17" i="1"/>
  <c r="AI17" i="1" s="1"/>
  <c r="AR16" i="1"/>
  <c r="AS16" i="1" s="1"/>
  <c r="AH16" i="1"/>
  <c r="AI16" i="1" s="1"/>
  <c r="AR15" i="1"/>
  <c r="AS15" i="1" s="1"/>
  <c r="AH15" i="1"/>
  <c r="AI15" i="1" s="1"/>
  <c r="AR14" i="1"/>
  <c r="AS14" i="1" s="1"/>
  <c r="AH14" i="1"/>
  <c r="AI14" i="1" s="1"/>
  <c r="AR13" i="1"/>
  <c r="AS13" i="1" s="1"/>
  <c r="AH13" i="1"/>
  <c r="AI13" i="1" s="1"/>
  <c r="AR12" i="1"/>
  <c r="AS12" i="1" s="1"/>
  <c r="AH12" i="1"/>
  <c r="AI12" i="1" s="1"/>
  <c r="AR11" i="1"/>
  <c r="AS11" i="1" s="1"/>
  <c r="AH11" i="1"/>
  <c r="AI11" i="1" s="1"/>
  <c r="AR10" i="1"/>
  <c r="AS10" i="1" s="1"/>
  <c r="AH10" i="1"/>
  <c r="AI10" i="1" s="1"/>
  <c r="AR9" i="1"/>
  <c r="AS9" i="1" s="1"/>
  <c r="AH9" i="1"/>
  <c r="AI9" i="1" s="1"/>
</calcChain>
</file>

<file path=xl/sharedStrings.xml><?xml version="1.0" encoding="utf-8"?>
<sst xmlns="http://schemas.openxmlformats.org/spreadsheetml/2006/main" count="182" uniqueCount="68">
  <si>
    <t>Material</t>
  </si>
  <si>
    <t>MPP</t>
  </si>
  <si>
    <t>a</t>
  </si>
  <si>
    <t>b</t>
  </si>
  <si>
    <t>c</t>
  </si>
  <si>
    <t>d</t>
  </si>
  <si>
    <t>e</t>
  </si>
  <si>
    <t>High Flux</t>
  </si>
  <si>
    <t>Kool Mµ</t>
  </si>
  <si>
    <t>x</t>
  </si>
  <si>
    <t>Δµ/µi(%)</t>
  </si>
  <si>
    <t>Unit Conversion</t>
  </si>
  <si>
    <t>Tesla</t>
  </si>
  <si>
    <t>Gauss</t>
  </si>
  <si>
    <t>Δµ</t>
  </si>
  <si>
    <t>75-Series</t>
  </si>
  <si>
    <t>Oersteds</t>
  </si>
  <si>
    <t>Kool Mµ MAX</t>
  </si>
  <si>
    <t>AT/cm</t>
  </si>
  <si>
    <t>Oersted</t>
  </si>
  <si>
    <t>Core Loss (mW/cc)</t>
  </si>
  <si>
    <t>Edge</t>
  </si>
  <si>
    <t>XFlux</t>
  </si>
  <si>
    <t>Permeability</t>
  </si>
  <si>
    <t>High Flux EQ &amp; LP</t>
  </si>
  <si>
    <t>Kool Mµ EQ &amp; LP</t>
  </si>
  <si>
    <t>XFlux EQ &amp; LP</t>
  </si>
  <si>
    <t>Kool Mµ Hƒ</t>
  </si>
  <si>
    <t>Roll-off (%)</t>
  </si>
  <si>
    <t>Roll-off (μ)</t>
  </si>
  <si>
    <t>B (Tesla)</t>
  </si>
  <si>
    <t>Input Drive Level (H) in Oersteds:</t>
  </si>
  <si>
    <t>Input Flux Density (B) in Tesla:</t>
  </si>
  <si>
    <t>Input Drive Level (H) in Oersteds</t>
  </si>
  <si>
    <t>Input Frequency (F) in MHz</t>
  </si>
  <si>
    <r>
      <t xml:space="preserve">Input Temperature (T) in </t>
    </r>
    <r>
      <rPr>
        <b/>
        <u/>
        <sz val="14"/>
        <color theme="1"/>
        <rFont val="Calibri"/>
        <family val="2"/>
        <scheme val="minor"/>
      </rPr>
      <t>Celsius</t>
    </r>
  </si>
  <si>
    <t>Permeability vs DC Bias</t>
  </si>
  <si>
    <t>Core Loss Density</t>
  </si>
  <si>
    <t>Input Frequency (f) in Kilohertz:</t>
  </si>
  <si>
    <t>Normal Magnetization</t>
  </si>
  <si>
    <t>Permeability vs. Frequency</t>
  </si>
  <si>
    <t>Permeability vs. Temperature</t>
  </si>
  <si>
    <t>High DC Bias Edge</t>
  </si>
  <si>
    <t>XFlux E-core, EER, U-core</t>
  </si>
  <si>
    <t>Kool Mµ E-core, EER, U-core</t>
  </si>
  <si>
    <t>Kool Mµ Max "A"
E-core, EER, U-core</t>
  </si>
  <si>
    <t>Kool Mµ Max "Y"
E-core, EER, U-core</t>
  </si>
  <si>
    <t>High Flux E-Core, EER, U-core</t>
  </si>
  <si>
    <t>Kool Mµ Blocks, Round Blocks, Cylinders</t>
  </si>
  <si>
    <t>Kool Mµ Max "A" Blocks, Round Blocks, Cylinders</t>
  </si>
  <si>
    <t>High Flux Blocks, Round Blocks, Cylinders</t>
  </si>
  <si>
    <t>Kool Mµ Max "Y" EQ &amp; LP</t>
  </si>
  <si>
    <t>Uncoated OD Between 40mm and 57mm</t>
  </si>
  <si>
    <t>5030B033HT20, 6020B033, 6030B033HT20, 7020B033, 7030B033, 8030B033</t>
  </si>
  <si>
    <t>High Flux E-core, EER, U-core</t>
  </si>
  <si>
    <t>High DC Bias XFlux</t>
  </si>
  <si>
    <t>XFlux Blocks, Round Blocks, Cylinders</t>
  </si>
  <si>
    <t>High DC Bias XFlux Blocks, Round Blocks, Cylinders</t>
  </si>
  <si>
    <t>Edge EQ &amp; LP</t>
  </si>
  <si>
    <t>Kool Mµ Hƒ E-core, EER, U-core</t>
  </si>
  <si>
    <t>Kool Mµ Hƒ Blocks, Round Blocks, Cylinders</t>
  </si>
  <si>
    <t>Edge Blocks, Round Blocks, Cylinders</t>
  </si>
  <si>
    <t>Edge E-core, EER, U-core</t>
  </si>
  <si>
    <t xml:space="preserve"> </t>
  </si>
  <si>
    <t>75</t>
  </si>
  <si>
    <t>Kool Mµ Ultra</t>
  </si>
  <si>
    <t>XFlux Ultra</t>
  </si>
  <si>
    <t>Xflux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</si>
</sst>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E+00"/>
    <numFmt numFmtId="165" formatCode="0.000"/>
    <numFmt numFmtId="166" formatCode="0.0%"/>
    <numFmt numFmtId="167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20"/>
      <color rgb="FF7F7F7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theme="6" tint="0.59999389629810485"/>
        <bgColor theme="0" tint="-0.1499984740745262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5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</cellStyleXfs>
  <cellXfs count="795">
    <xf numFmtId="0" fontId="0" fillId="0" borderId="0" xfId="0"/>
    <xf numFmtId="0" fontId="3" fillId="0" borderId="0" xfId="0" applyFont="1" applyAlignment="1">
      <alignment vertical="top" wrapText="1"/>
    </xf>
    <xf numFmtId="0" fontId="0" fillId="0" borderId="14" xfId="0" applyBorder="1"/>
    <xf numFmtId="0" fontId="7" fillId="3" borderId="8" xfId="0" applyFont="1" applyFill="1" applyBorder="1"/>
    <xf numFmtId="0" fontId="7" fillId="3" borderId="7" xfId="0" applyFont="1" applyFill="1" applyBorder="1"/>
    <xf numFmtId="0" fontId="7" fillId="3" borderId="4" xfId="0" applyFont="1" applyFill="1" applyBorder="1"/>
    <xf numFmtId="0" fontId="7" fillId="3" borderId="9" xfId="0" applyFont="1" applyFill="1" applyBorder="1"/>
    <xf numFmtId="0" fontId="0" fillId="3" borderId="0" xfId="0" applyFill="1"/>
    <xf numFmtId="0" fontId="0" fillId="3" borderId="9" xfId="0" applyFill="1" applyBorder="1"/>
    <xf numFmtId="0" fontId="6" fillId="3" borderId="10" xfId="4" applyFont="1" applyFill="1" applyBorder="1" applyAlignment="1"/>
    <xf numFmtId="0" fontId="7" fillId="3" borderId="10" xfId="4" applyFont="1" applyFill="1" applyBorder="1" applyAlignment="1" applyProtection="1">
      <protection locked="0"/>
    </xf>
    <xf numFmtId="0" fontId="10" fillId="3" borderId="9" xfId="0" applyFont="1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8" xfId="0" applyFill="1" applyBorder="1"/>
    <xf numFmtId="0" fontId="0" fillId="3" borderId="7" xfId="0" applyFill="1" applyBorder="1"/>
    <xf numFmtId="165" fontId="3" fillId="3" borderId="7" xfId="0" applyNumberFormat="1" applyFont="1" applyFill="1" applyBorder="1" applyAlignment="1">
      <alignment vertical="top" wrapText="1"/>
    </xf>
    <xf numFmtId="2" fontId="8" fillId="3" borderId="4" xfId="0" applyNumberFormat="1" applyFont="1" applyFill="1" applyBorder="1" applyAlignment="1">
      <alignment vertical="top" wrapText="1"/>
    </xf>
    <xf numFmtId="0" fontId="0" fillId="2" borderId="0" xfId="0" applyFill="1"/>
    <xf numFmtId="0" fontId="0" fillId="2" borderId="14" xfId="0" applyFill="1" applyBorder="1"/>
    <xf numFmtId="0" fontId="0" fillId="2" borderId="10" xfId="0" applyFill="1" applyBorder="1"/>
    <xf numFmtId="0" fontId="0" fillId="2" borderId="7" xfId="0" applyFill="1" applyBorder="1"/>
    <xf numFmtId="0" fontId="7" fillId="2" borderId="8" xfId="0" applyFont="1" applyFill="1" applyBorder="1"/>
    <xf numFmtId="0" fontId="7" fillId="2" borderId="7" xfId="0" applyFont="1" applyFill="1" applyBorder="1"/>
    <xf numFmtId="0" fontId="7" fillId="2" borderId="9" xfId="0" applyFont="1" applyFill="1" applyBorder="1"/>
    <xf numFmtId="0" fontId="7" fillId="10" borderId="10" xfId="0" applyFont="1" applyFill="1" applyBorder="1"/>
    <xf numFmtId="0" fontId="7" fillId="10" borderId="9" xfId="0" applyFont="1" applyFill="1" applyBorder="1"/>
    <xf numFmtId="0" fontId="7" fillId="10" borderId="7" xfId="0" applyFont="1" applyFill="1" applyBorder="1"/>
    <xf numFmtId="0" fontId="7" fillId="12" borderId="9" xfId="0" applyFont="1" applyFill="1" applyBorder="1"/>
    <xf numFmtId="0" fontId="7" fillId="12" borderId="10" xfId="0" applyFont="1" applyFill="1" applyBorder="1"/>
    <xf numFmtId="0" fontId="7" fillId="0" borderId="0" xfId="0" applyFont="1"/>
    <xf numFmtId="2" fontId="8" fillId="0" borderId="0" xfId="0" applyNumberFormat="1" applyFont="1" applyAlignment="1">
      <alignment vertical="top" wrapText="1"/>
    </xf>
    <xf numFmtId="0" fontId="9" fillId="0" borderId="0" xfId="0" applyFont="1" applyProtection="1">
      <protection locked="0"/>
    </xf>
    <xf numFmtId="0" fontId="1" fillId="0" borderId="0" xfId="0" applyFont="1" applyAlignment="1">
      <alignment horizontal="center"/>
    </xf>
    <xf numFmtId="0" fontId="7" fillId="3" borderId="10" xfId="0" applyFont="1" applyFill="1" applyBorder="1"/>
    <xf numFmtId="0" fontId="11" fillId="12" borderId="7" xfId="0" applyFont="1" applyFill="1" applyBorder="1" applyAlignment="1">
      <alignment horizontal="center" vertical="center"/>
    </xf>
    <xf numFmtId="0" fontId="11" fillId="12" borderId="12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vertical="center"/>
    </xf>
    <xf numFmtId="0" fontId="17" fillId="3" borderId="15" xfId="0" applyFont="1" applyFill="1" applyBorder="1" applyAlignment="1">
      <alignment vertical="center"/>
    </xf>
    <xf numFmtId="0" fontId="17" fillId="2" borderId="13" xfId="0" applyFont="1" applyFill="1" applyBorder="1" applyAlignment="1">
      <alignment vertical="center"/>
    </xf>
    <xf numFmtId="0" fontId="17" fillId="2" borderId="14" xfId="0" applyFont="1" applyFill="1" applyBorder="1" applyAlignment="1">
      <alignment vertical="center"/>
    </xf>
    <xf numFmtId="0" fontId="6" fillId="2" borderId="9" xfId="0" applyFont="1" applyFill="1" applyBorder="1"/>
    <xf numFmtId="0" fontId="7" fillId="10" borderId="13" xfId="0" applyFont="1" applyFill="1" applyBorder="1"/>
    <xf numFmtId="0" fontId="6" fillId="10" borderId="9" xfId="0" applyFont="1" applyFill="1" applyBorder="1"/>
    <xf numFmtId="0" fontId="1" fillId="12" borderId="9" xfId="0" applyFont="1" applyFill="1" applyBorder="1"/>
    <xf numFmtId="0" fontId="17" fillId="0" borderId="0" xfId="0" applyFont="1" applyAlignment="1">
      <alignment vertical="center"/>
    </xf>
    <xf numFmtId="0" fontId="6" fillId="0" borderId="0" xfId="0" applyFont="1"/>
    <xf numFmtId="164" fontId="3" fillId="0" borderId="0" xfId="0" applyNumberFormat="1" applyFont="1" applyAlignment="1">
      <alignment vertical="top" wrapText="1"/>
    </xf>
    <xf numFmtId="0" fontId="1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166" fontId="8" fillId="0" borderId="0" xfId="0" applyNumberFormat="1" applyFont="1" applyAlignment="1">
      <alignment vertical="top" wrapText="1"/>
    </xf>
    <xf numFmtId="0" fontId="11" fillId="2" borderId="0" xfId="0" applyFont="1" applyFill="1" applyAlignment="1">
      <alignment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vertical="top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2" borderId="14" xfId="0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0" fontId="9" fillId="2" borderId="10" xfId="0" applyFont="1" applyFill="1" applyBorder="1" applyAlignment="1" applyProtection="1">
      <alignment horizontal="center"/>
      <protection locked="0"/>
    </xf>
    <xf numFmtId="0" fontId="7" fillId="2" borderId="7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1" fillId="12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166" fontId="8" fillId="0" borderId="0" xfId="0" applyNumberFormat="1" applyFont="1" applyAlignment="1">
      <alignment horizontal="center" wrapText="1"/>
    </xf>
    <xf numFmtId="2" fontId="8" fillId="0" borderId="0" xfId="0" applyNumberFormat="1" applyFont="1" applyAlignment="1">
      <alignment horizontal="center" wrapText="1"/>
    </xf>
    <xf numFmtId="0" fontId="2" fillId="0" borderId="0" xfId="0" applyFont="1"/>
    <xf numFmtId="0" fontId="9" fillId="0" borderId="0" xfId="2" applyNumberFormat="1" applyFont="1" applyFill="1" applyBorder="1" applyAlignment="1" applyProtection="1">
      <protection locked="0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1" fillId="0" borderId="0" xfId="0" applyFont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/>
    </xf>
    <xf numFmtId="0" fontId="21" fillId="0" borderId="0" xfId="3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8" fillId="0" borderId="0" xfId="0" applyNumberFormat="1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 applyProtection="1">
      <alignment horizontal="center"/>
      <protection locked="0"/>
    </xf>
    <xf numFmtId="0" fontId="17" fillId="0" borderId="0" xfId="0" applyFont="1" applyAlignment="1">
      <alignment horizontal="center" vertical="center"/>
    </xf>
    <xf numFmtId="0" fontId="18" fillId="0" borderId="0" xfId="1" applyFont="1" applyFill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 wrapText="1"/>
    </xf>
    <xf numFmtId="0" fontId="1" fillId="0" borderId="0" xfId="3" applyFont="1" applyFill="1" applyBorder="1" applyAlignment="1">
      <alignment horizontal="center"/>
    </xf>
    <xf numFmtId="0" fontId="21" fillId="0" borderId="0" xfId="3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2" applyFont="1" applyFill="1" applyBorder="1" applyAlignment="1"/>
    <xf numFmtId="0" fontId="16" fillId="0" borderId="0" xfId="0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vertical="center" wrapText="1"/>
    </xf>
    <xf numFmtId="0" fontId="6" fillId="0" borderId="0" xfId="2" applyFont="1" applyFill="1" applyBorder="1" applyAlignment="1"/>
    <xf numFmtId="0" fontId="6" fillId="0" borderId="0" xfId="3" applyFont="1" applyFill="1" applyBorder="1" applyAlignment="1"/>
    <xf numFmtId="0" fontId="22" fillId="0" borderId="0" xfId="3" applyFont="1" applyFill="1" applyBorder="1" applyAlignment="1"/>
    <xf numFmtId="0" fontId="7" fillId="0" borderId="0" xfId="3" applyFont="1" applyFill="1" applyBorder="1" applyAlignment="1" applyProtection="1">
      <protection locked="0"/>
    </xf>
    <xf numFmtId="0" fontId="12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2" fillId="0" borderId="0" xfId="5" applyFont="1" applyFill="1" applyBorder="1" applyAlignment="1"/>
    <xf numFmtId="0" fontId="7" fillId="0" borderId="0" xfId="5" applyFont="1" applyFill="1" applyBorder="1" applyAlignment="1" applyProtection="1">
      <protection locked="0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6" fillId="0" borderId="0" xfId="5" applyFont="1" applyFill="1" applyBorder="1" applyAlignment="1"/>
    <xf numFmtId="0" fontId="11" fillId="3" borderId="5" xfId="0" applyFont="1" applyFill="1" applyBorder="1" applyAlignment="1">
      <alignment horizontal="center" vertical="center" wrapText="1"/>
    </xf>
    <xf numFmtId="0" fontId="0" fillId="2" borderId="9" xfId="0" applyFill="1" applyBorder="1"/>
    <xf numFmtId="166" fontId="27" fillId="0" borderId="31" xfId="0" applyNumberFormat="1" applyFont="1" applyBorder="1" applyAlignment="1">
      <alignment horizontal="center" vertical="center" wrapText="1"/>
    </xf>
    <xf numFmtId="2" fontId="27" fillId="0" borderId="19" xfId="0" applyNumberFormat="1" applyFont="1" applyBorder="1" applyAlignment="1">
      <alignment horizontal="center" vertical="center" wrapText="1"/>
    </xf>
    <xf numFmtId="2" fontId="27" fillId="0" borderId="20" xfId="0" applyNumberFormat="1" applyFont="1" applyBorder="1" applyAlignment="1">
      <alignment horizontal="center" vertical="center" wrapText="1"/>
    </xf>
    <xf numFmtId="2" fontId="27" fillId="0" borderId="22" xfId="0" applyNumberFormat="1" applyFont="1" applyBorder="1" applyAlignment="1">
      <alignment horizontal="center" vertical="center" wrapText="1"/>
    </xf>
    <xf numFmtId="2" fontId="27" fillId="0" borderId="24" xfId="0" applyNumberFormat="1" applyFont="1" applyBorder="1" applyAlignment="1">
      <alignment horizontal="center" vertical="center" wrapText="1"/>
    </xf>
    <xf numFmtId="2" fontId="27" fillId="0" borderId="25" xfId="0" applyNumberFormat="1" applyFont="1" applyBorder="1" applyAlignment="1">
      <alignment horizontal="center" vertical="center" wrapText="1"/>
    </xf>
    <xf numFmtId="166" fontId="27" fillId="0" borderId="33" xfId="0" applyNumberFormat="1" applyFont="1" applyBorder="1" applyAlignment="1">
      <alignment horizontal="center" vertical="center" wrapText="1"/>
    </xf>
    <xf numFmtId="166" fontId="27" fillId="0" borderId="32" xfId="0" applyNumberFormat="1" applyFont="1" applyBorder="1" applyAlignment="1">
      <alignment horizontal="center" vertical="center" wrapText="1"/>
    </xf>
    <xf numFmtId="0" fontId="25" fillId="2" borderId="43" xfId="0" applyFont="1" applyFill="1" applyBorder="1" applyAlignment="1">
      <alignment horizontal="center" vertical="center" wrapText="1"/>
    </xf>
    <xf numFmtId="164" fontId="26" fillId="9" borderId="17" xfId="0" applyNumberFormat="1" applyFont="1" applyFill="1" applyBorder="1" applyAlignment="1">
      <alignment horizontal="center" vertical="center"/>
    </xf>
    <xf numFmtId="165" fontId="26" fillId="9" borderId="24" xfId="0" applyNumberFormat="1" applyFont="1" applyFill="1" applyBorder="1" applyAlignment="1">
      <alignment horizontal="center" vertical="center"/>
    </xf>
    <xf numFmtId="167" fontId="27" fillId="0" borderId="51" xfId="0" applyNumberFormat="1" applyFont="1" applyBorder="1" applyAlignment="1">
      <alignment horizontal="center" vertical="center" wrapText="1"/>
    </xf>
    <xf numFmtId="0" fontId="25" fillId="2" borderId="40" xfId="0" applyFont="1" applyFill="1" applyBorder="1" applyAlignment="1">
      <alignment horizontal="center" vertical="center" wrapText="1"/>
    </xf>
    <xf numFmtId="164" fontId="26" fillId="9" borderId="16" xfId="0" applyNumberFormat="1" applyFont="1" applyFill="1" applyBorder="1" applyAlignment="1">
      <alignment horizontal="center" vertical="center"/>
    </xf>
    <xf numFmtId="165" fontId="26" fillId="9" borderId="20" xfId="0" applyNumberFormat="1" applyFont="1" applyFill="1" applyBorder="1" applyAlignment="1">
      <alignment horizontal="center" vertical="center"/>
    </xf>
    <xf numFmtId="167" fontId="27" fillId="0" borderId="36" xfId="0" applyNumberFormat="1" applyFont="1" applyBorder="1" applyAlignment="1">
      <alignment horizontal="center" vertical="center" wrapText="1"/>
    </xf>
    <xf numFmtId="0" fontId="25" fillId="2" borderId="41" xfId="0" applyFont="1" applyFill="1" applyBorder="1" applyAlignment="1">
      <alignment horizontal="center" vertical="center" wrapText="1"/>
    </xf>
    <xf numFmtId="164" fontId="26" fillId="9" borderId="21" xfId="0" applyNumberFormat="1" applyFont="1" applyFill="1" applyBorder="1" applyAlignment="1">
      <alignment horizontal="center" vertical="center"/>
    </xf>
    <xf numFmtId="165" fontId="26" fillId="9" borderId="22" xfId="0" applyNumberFormat="1" applyFont="1" applyFill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 wrapText="1"/>
    </xf>
    <xf numFmtId="0" fontId="25" fillId="2" borderId="42" xfId="0" applyFont="1" applyFill="1" applyBorder="1" applyAlignment="1">
      <alignment horizontal="center" vertical="center" wrapText="1"/>
    </xf>
    <xf numFmtId="164" fontId="26" fillId="9" borderId="23" xfId="0" applyNumberFormat="1" applyFont="1" applyFill="1" applyBorder="1" applyAlignment="1">
      <alignment horizontal="center" vertical="center"/>
    </xf>
    <xf numFmtId="165" fontId="26" fillId="9" borderId="25" xfId="0" applyNumberFormat="1" applyFont="1" applyFill="1" applyBorder="1" applyAlignment="1">
      <alignment horizontal="center" vertical="center"/>
    </xf>
    <xf numFmtId="167" fontId="27" fillId="0" borderId="40" xfId="0" applyNumberFormat="1" applyFont="1" applyBorder="1" applyAlignment="1">
      <alignment horizontal="center" vertical="center" wrapText="1"/>
    </xf>
    <xf numFmtId="164" fontId="26" fillId="9" borderId="33" xfId="0" applyNumberFormat="1" applyFont="1" applyFill="1" applyBorder="1" applyAlignment="1">
      <alignment horizontal="center" vertical="center"/>
    </xf>
    <xf numFmtId="164" fontId="26" fillId="9" borderId="57" xfId="0" applyNumberFormat="1" applyFont="1" applyFill="1" applyBorder="1" applyAlignment="1">
      <alignment horizontal="center" vertical="center"/>
    </xf>
    <xf numFmtId="167" fontId="27" fillId="0" borderId="4" xfId="0" applyNumberFormat="1" applyFont="1" applyBorder="1" applyAlignment="1">
      <alignment horizontal="center" vertical="center" wrapText="1"/>
    </xf>
    <xf numFmtId="0" fontId="13" fillId="2" borderId="39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167" fontId="27" fillId="0" borderId="50" xfId="0" applyNumberFormat="1" applyFont="1" applyBorder="1" applyAlignment="1">
      <alignment horizontal="center" vertical="center" wrapText="1"/>
    </xf>
    <xf numFmtId="164" fontId="26" fillId="9" borderId="18" xfId="0" applyNumberFormat="1" applyFont="1" applyFill="1" applyBorder="1" applyAlignment="1">
      <alignment horizontal="center" vertical="center"/>
    </xf>
    <xf numFmtId="165" fontId="26" fillId="9" borderId="19" xfId="0" applyNumberFormat="1" applyFont="1" applyFill="1" applyBorder="1" applyAlignment="1">
      <alignment horizontal="center" vertical="center"/>
    </xf>
    <xf numFmtId="167" fontId="27" fillId="0" borderId="39" xfId="0" applyNumberFormat="1" applyFont="1" applyBorder="1" applyAlignment="1">
      <alignment horizontal="center" vertical="center" wrapText="1"/>
    </xf>
    <xf numFmtId="164" fontId="26" fillId="9" borderId="27" xfId="0" applyNumberFormat="1" applyFont="1" applyFill="1" applyBorder="1" applyAlignment="1">
      <alignment horizontal="center" vertical="center"/>
    </xf>
    <xf numFmtId="164" fontId="26" fillId="9" borderId="28" xfId="0" applyNumberFormat="1" applyFont="1" applyFill="1" applyBorder="1" applyAlignment="1">
      <alignment horizontal="center" vertical="center"/>
    </xf>
    <xf numFmtId="164" fontId="26" fillId="9" borderId="29" xfId="0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167" fontId="27" fillId="0" borderId="49" xfId="0" applyNumberFormat="1" applyFont="1" applyBorder="1" applyAlignment="1">
      <alignment horizontal="center" vertical="center" wrapText="1"/>
    </xf>
    <xf numFmtId="49" fontId="25" fillId="2" borderId="43" xfId="0" applyNumberFormat="1" applyFont="1" applyFill="1" applyBorder="1" applyAlignment="1">
      <alignment horizontal="center" vertical="center"/>
    </xf>
    <xf numFmtId="49" fontId="25" fillId="2" borderId="40" xfId="0" applyNumberFormat="1" applyFont="1" applyFill="1" applyBorder="1" applyAlignment="1">
      <alignment horizontal="center" vertical="center"/>
    </xf>
    <xf numFmtId="49" fontId="25" fillId="2" borderId="41" xfId="0" applyNumberFormat="1" applyFont="1" applyFill="1" applyBorder="1" applyAlignment="1">
      <alignment horizontal="center" vertical="center"/>
    </xf>
    <xf numFmtId="0" fontId="25" fillId="2" borderId="43" xfId="3" applyFont="1" applyFill="1" applyBorder="1" applyAlignment="1">
      <alignment horizontal="center" vertical="center"/>
    </xf>
    <xf numFmtId="0" fontId="25" fillId="2" borderId="41" xfId="0" applyFont="1" applyFill="1" applyBorder="1" applyAlignment="1">
      <alignment horizontal="center" vertical="center"/>
    </xf>
    <xf numFmtId="0" fontId="25" fillId="2" borderId="43" xfId="0" applyFont="1" applyFill="1" applyBorder="1" applyAlignment="1">
      <alignment horizontal="center" vertical="center"/>
    </xf>
    <xf numFmtId="0" fontId="25" fillId="2" borderId="40" xfId="0" applyFont="1" applyFill="1" applyBorder="1" applyAlignment="1">
      <alignment horizontal="center" vertical="center"/>
    </xf>
    <xf numFmtId="49" fontId="25" fillId="2" borderId="39" xfId="0" applyNumberFormat="1" applyFont="1" applyFill="1" applyBorder="1" applyAlignment="1">
      <alignment horizontal="center" vertical="center"/>
    </xf>
    <xf numFmtId="167" fontId="27" fillId="0" borderId="41" xfId="0" applyNumberFormat="1" applyFont="1" applyBorder="1" applyAlignment="1">
      <alignment horizontal="center" vertical="center" wrapText="1"/>
    </xf>
    <xf numFmtId="164" fontId="26" fillId="9" borderId="53" xfId="0" applyNumberFormat="1" applyFont="1" applyFill="1" applyBorder="1" applyAlignment="1">
      <alignment horizontal="center" vertical="center"/>
    </xf>
    <xf numFmtId="165" fontId="26" fillId="9" borderId="48" xfId="0" applyNumberFormat="1" applyFont="1" applyFill="1" applyBorder="1" applyAlignment="1">
      <alignment horizontal="center" vertical="center"/>
    </xf>
    <xf numFmtId="164" fontId="26" fillId="9" borderId="56" xfId="0" applyNumberFormat="1" applyFont="1" applyFill="1" applyBorder="1" applyAlignment="1">
      <alignment horizontal="center" vertical="center"/>
    </xf>
    <xf numFmtId="164" fontId="26" fillId="9" borderId="31" xfId="0" applyNumberFormat="1" applyFont="1" applyFill="1" applyBorder="1" applyAlignment="1">
      <alignment horizontal="center" vertical="center"/>
    </xf>
    <xf numFmtId="164" fontId="28" fillId="9" borderId="16" xfId="0" applyNumberFormat="1" applyFont="1" applyFill="1" applyBorder="1" applyAlignment="1">
      <alignment horizontal="center" vertical="center"/>
    </xf>
    <xf numFmtId="164" fontId="28" fillId="9" borderId="23" xfId="0" applyNumberFormat="1" applyFont="1" applyFill="1" applyBorder="1" applyAlignment="1">
      <alignment horizontal="center" vertical="center"/>
    </xf>
    <xf numFmtId="164" fontId="28" fillId="9" borderId="21" xfId="0" applyNumberFormat="1" applyFont="1" applyFill="1" applyBorder="1" applyAlignment="1">
      <alignment horizontal="center" vertical="center"/>
    </xf>
    <xf numFmtId="164" fontId="28" fillId="9" borderId="31" xfId="0" applyNumberFormat="1" applyFont="1" applyFill="1" applyBorder="1" applyAlignment="1">
      <alignment horizontal="center" vertical="center"/>
    </xf>
    <xf numFmtId="164" fontId="28" fillId="9" borderId="18" xfId="0" applyNumberFormat="1" applyFont="1" applyFill="1" applyBorder="1" applyAlignment="1">
      <alignment horizontal="center" vertical="center"/>
    </xf>
    <xf numFmtId="164" fontId="28" fillId="9" borderId="33" xfId="0" applyNumberFormat="1" applyFont="1" applyFill="1" applyBorder="1" applyAlignment="1">
      <alignment horizontal="center" vertical="center"/>
    </xf>
    <xf numFmtId="164" fontId="26" fillId="9" borderId="30" xfId="0" applyNumberFormat="1" applyFont="1" applyFill="1" applyBorder="1" applyAlignment="1">
      <alignment horizontal="center" vertical="center"/>
    </xf>
    <xf numFmtId="0" fontId="13" fillId="3" borderId="43" xfId="0" applyFont="1" applyFill="1" applyBorder="1" applyAlignment="1">
      <alignment horizontal="center" vertical="center" wrapText="1"/>
    </xf>
    <xf numFmtId="0" fontId="26" fillId="8" borderId="17" xfId="0" applyFont="1" applyFill="1" applyBorder="1" applyAlignment="1">
      <alignment horizontal="center" vertical="center"/>
    </xf>
    <xf numFmtId="0" fontId="26" fillId="8" borderId="19" xfId="0" applyFont="1" applyFill="1" applyBorder="1" applyAlignment="1">
      <alignment horizontal="center" vertical="center"/>
    </xf>
    <xf numFmtId="2" fontId="27" fillId="0" borderId="43" xfId="0" applyNumberFormat="1" applyFont="1" applyBorder="1" applyAlignment="1">
      <alignment horizontal="center" vertical="center" wrapText="1"/>
    </xf>
    <xf numFmtId="0" fontId="13" fillId="3" borderId="40" xfId="0" applyFont="1" applyFill="1" applyBorder="1" applyAlignment="1">
      <alignment horizontal="center" vertical="center" wrapText="1"/>
    </xf>
    <xf numFmtId="0" fontId="26" fillId="8" borderId="27" xfId="0" applyFont="1" applyFill="1" applyBorder="1" applyAlignment="1">
      <alignment horizontal="center" vertical="center"/>
    </xf>
    <xf numFmtId="0" fontId="26" fillId="8" borderId="16" xfId="0" applyFont="1" applyFill="1" applyBorder="1" applyAlignment="1">
      <alignment horizontal="center" vertical="center"/>
    </xf>
    <xf numFmtId="0" fontId="26" fillId="8" borderId="20" xfId="0" applyFont="1" applyFill="1" applyBorder="1" applyAlignment="1">
      <alignment horizontal="center" vertical="center"/>
    </xf>
    <xf numFmtId="2" fontId="27" fillId="0" borderId="40" xfId="0" applyNumberFormat="1" applyFont="1" applyBorder="1" applyAlignment="1">
      <alignment horizontal="center" vertical="center" wrapText="1"/>
    </xf>
    <xf numFmtId="0" fontId="13" fillId="3" borderId="41" xfId="0" applyFont="1" applyFill="1" applyBorder="1" applyAlignment="1">
      <alignment horizontal="center" vertical="center" wrapText="1"/>
    </xf>
    <xf numFmtId="2" fontId="27" fillId="0" borderId="42" xfId="0" applyNumberFormat="1" applyFont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26" fillId="8" borderId="31" xfId="0" applyFont="1" applyFill="1" applyBorder="1" applyAlignment="1">
      <alignment horizontal="center" vertical="center"/>
    </xf>
    <xf numFmtId="0" fontId="26" fillId="8" borderId="18" xfId="0" applyFont="1" applyFill="1" applyBorder="1" applyAlignment="1">
      <alignment horizontal="center" vertical="center"/>
    </xf>
    <xf numFmtId="0" fontId="26" fillId="8" borderId="24" xfId="0" applyFont="1" applyFill="1" applyBorder="1" applyAlignment="1">
      <alignment horizontal="center" vertical="center"/>
    </xf>
    <xf numFmtId="2" fontId="27" fillId="0" borderId="39" xfId="0" applyNumberFormat="1" applyFont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26" fillId="8" borderId="30" xfId="0" applyFont="1" applyFill="1" applyBorder="1" applyAlignment="1">
      <alignment horizontal="center" vertical="center"/>
    </xf>
    <xf numFmtId="0" fontId="26" fillId="8" borderId="23" xfId="0" applyFont="1" applyFill="1" applyBorder="1" applyAlignment="1">
      <alignment horizontal="center" vertical="center"/>
    </xf>
    <xf numFmtId="0" fontId="26" fillId="8" borderId="25" xfId="0" applyFont="1" applyFill="1" applyBorder="1" applyAlignment="1">
      <alignment horizontal="center" vertical="center"/>
    </xf>
    <xf numFmtId="0" fontId="26" fillId="8" borderId="28" xfId="0" applyFont="1" applyFill="1" applyBorder="1" applyAlignment="1">
      <alignment horizontal="center" vertical="center"/>
    </xf>
    <xf numFmtId="0" fontId="26" fillId="8" borderId="21" xfId="0" applyFont="1" applyFill="1" applyBorder="1" applyAlignment="1">
      <alignment horizontal="center" vertical="center"/>
    </xf>
    <xf numFmtId="0" fontId="26" fillId="8" borderId="22" xfId="0" applyFont="1" applyFill="1" applyBorder="1" applyAlignment="1">
      <alignment horizontal="center" vertical="center"/>
    </xf>
    <xf numFmtId="2" fontId="27" fillId="0" borderId="41" xfId="0" applyNumberFormat="1" applyFont="1" applyBorder="1" applyAlignment="1">
      <alignment horizontal="center" vertical="center" wrapText="1"/>
    </xf>
    <xf numFmtId="0" fontId="26" fillId="8" borderId="29" xfId="0" applyFont="1" applyFill="1" applyBorder="1" applyAlignment="1">
      <alignment horizontal="center" vertical="center"/>
    </xf>
    <xf numFmtId="165" fontId="26" fillId="8" borderId="20" xfId="0" applyNumberFormat="1" applyFont="1" applyFill="1" applyBorder="1" applyAlignment="1">
      <alignment horizontal="center" vertical="center"/>
    </xf>
    <xf numFmtId="165" fontId="26" fillId="8" borderId="18" xfId="0" applyNumberFormat="1" applyFont="1" applyFill="1" applyBorder="1" applyAlignment="1">
      <alignment horizontal="center" vertical="center"/>
    </xf>
    <xf numFmtId="165" fontId="26" fillId="8" borderId="19" xfId="0" applyNumberFormat="1" applyFont="1" applyFill="1" applyBorder="1" applyAlignment="1">
      <alignment horizontal="center" vertical="center"/>
    </xf>
    <xf numFmtId="165" fontId="26" fillId="8" borderId="16" xfId="0" applyNumberFormat="1" applyFont="1" applyFill="1" applyBorder="1" applyAlignment="1">
      <alignment horizontal="center" vertical="center"/>
    </xf>
    <xf numFmtId="165" fontId="26" fillId="8" borderId="23" xfId="0" applyNumberFormat="1" applyFont="1" applyFill="1" applyBorder="1" applyAlignment="1">
      <alignment horizontal="center" vertical="center"/>
    </xf>
    <xf numFmtId="165" fontId="26" fillId="8" borderId="25" xfId="0" applyNumberFormat="1" applyFont="1" applyFill="1" applyBorder="1" applyAlignment="1">
      <alignment horizontal="center" vertical="center"/>
    </xf>
    <xf numFmtId="0" fontId="11" fillId="3" borderId="42" xfId="0" applyFont="1" applyFill="1" applyBorder="1" applyAlignment="1">
      <alignment horizontal="center" vertical="center"/>
    </xf>
    <xf numFmtId="2" fontId="26" fillId="8" borderId="31" xfId="0" applyNumberFormat="1" applyFont="1" applyFill="1" applyBorder="1" applyAlignment="1">
      <alignment horizontal="center" vertical="center"/>
    </xf>
    <xf numFmtId="2" fontId="26" fillId="8" borderId="27" xfId="0" applyNumberFormat="1" applyFont="1" applyFill="1" applyBorder="1" applyAlignment="1">
      <alignment horizontal="center" vertical="center"/>
    </xf>
    <xf numFmtId="2" fontId="26" fillId="8" borderId="33" xfId="0" applyNumberFormat="1" applyFont="1" applyFill="1" applyBorder="1" applyAlignment="1">
      <alignment horizontal="center" vertical="center"/>
    </xf>
    <xf numFmtId="165" fontId="26" fillId="8" borderId="21" xfId="0" applyNumberFormat="1" applyFont="1" applyFill="1" applyBorder="1" applyAlignment="1">
      <alignment horizontal="center" vertical="center"/>
    </xf>
    <xf numFmtId="165" fontId="26" fillId="8" borderId="22" xfId="0" applyNumberFormat="1" applyFont="1" applyFill="1" applyBorder="1" applyAlignment="1">
      <alignment horizontal="center" vertical="center"/>
    </xf>
    <xf numFmtId="2" fontId="26" fillId="8" borderId="29" xfId="0" applyNumberFormat="1" applyFont="1" applyFill="1" applyBorder="1" applyAlignment="1">
      <alignment horizontal="center" vertical="center"/>
    </xf>
    <xf numFmtId="2" fontId="27" fillId="0" borderId="36" xfId="0" applyNumberFormat="1" applyFont="1" applyBorder="1" applyAlignment="1">
      <alignment horizontal="center" vertical="center" wrapText="1"/>
    </xf>
    <xf numFmtId="2" fontId="27" fillId="0" borderId="38" xfId="0" applyNumberFormat="1" applyFont="1" applyBorder="1" applyAlignment="1">
      <alignment horizontal="center" vertical="center" wrapText="1"/>
    </xf>
    <xf numFmtId="2" fontId="27" fillId="0" borderId="49" xfId="0" applyNumberFormat="1" applyFont="1" applyBorder="1" applyAlignment="1">
      <alignment horizontal="center" vertical="center" wrapText="1"/>
    </xf>
    <xf numFmtId="2" fontId="26" fillId="8" borderId="30" xfId="0" applyNumberFormat="1" applyFont="1" applyFill="1" applyBorder="1" applyAlignment="1">
      <alignment horizontal="center" vertical="center"/>
    </xf>
    <xf numFmtId="0" fontId="29" fillId="8" borderId="23" xfId="0" applyFont="1" applyFill="1" applyBorder="1" applyAlignment="1">
      <alignment horizontal="center" vertical="center"/>
    </xf>
    <xf numFmtId="165" fontId="10" fillId="8" borderId="18" xfId="0" applyNumberFormat="1" applyFont="1" applyFill="1" applyBorder="1" applyAlignment="1">
      <alignment horizontal="center" vertical="center" wrapText="1"/>
    </xf>
    <xf numFmtId="2" fontId="27" fillId="0" borderId="51" xfId="0" applyNumberFormat="1" applyFont="1" applyBorder="1" applyAlignment="1">
      <alignment horizontal="center" vertical="center" wrapText="1"/>
    </xf>
    <xf numFmtId="165" fontId="10" fillId="8" borderId="16" xfId="0" applyNumberFormat="1" applyFont="1" applyFill="1" applyBorder="1" applyAlignment="1">
      <alignment horizontal="center" vertical="center" wrapText="1"/>
    </xf>
    <xf numFmtId="165" fontId="10" fillId="8" borderId="21" xfId="0" applyNumberFormat="1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/>
    </xf>
    <xf numFmtId="165" fontId="26" fillId="8" borderId="24" xfId="0" applyNumberFormat="1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/>
    </xf>
    <xf numFmtId="0" fontId="11" fillId="3" borderId="43" xfId="0" applyFont="1" applyFill="1" applyBorder="1" applyAlignment="1">
      <alignment horizontal="center" vertical="center"/>
    </xf>
    <xf numFmtId="0" fontId="26" fillId="8" borderId="33" xfId="0" applyFont="1" applyFill="1" applyBorder="1" applyAlignment="1">
      <alignment horizontal="center" vertical="center"/>
    </xf>
    <xf numFmtId="0" fontId="26" fillId="8" borderId="52" xfId="0" applyFont="1" applyFill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/>
    </xf>
    <xf numFmtId="2" fontId="27" fillId="0" borderId="2" xfId="0" applyNumberFormat="1" applyFont="1" applyBorder="1" applyAlignment="1">
      <alignment horizontal="center" vertical="center" wrapText="1"/>
    </xf>
    <xf numFmtId="0" fontId="26" fillId="8" borderId="32" xfId="0" applyFont="1" applyFill="1" applyBorder="1" applyAlignment="1">
      <alignment horizontal="center" vertical="center"/>
    </xf>
    <xf numFmtId="165" fontId="26" fillId="8" borderId="17" xfId="0" applyNumberFormat="1" applyFont="1" applyFill="1" applyBorder="1" applyAlignment="1">
      <alignment horizontal="center" vertical="center"/>
    </xf>
    <xf numFmtId="1" fontId="25" fillId="3" borderId="41" xfId="0" applyNumberFormat="1" applyFont="1" applyFill="1" applyBorder="1" applyAlignment="1">
      <alignment horizontal="center" vertical="center"/>
    </xf>
    <xf numFmtId="2" fontId="27" fillId="0" borderId="10" xfId="0" applyNumberFormat="1" applyFont="1" applyBorder="1" applyAlignment="1">
      <alignment horizontal="center" vertical="center" wrapText="1"/>
    </xf>
    <xf numFmtId="1" fontId="25" fillId="3" borderId="43" xfId="0" applyNumberFormat="1" applyFont="1" applyFill="1" applyBorder="1" applyAlignment="1">
      <alignment horizontal="center" vertical="center"/>
    </xf>
    <xf numFmtId="2" fontId="26" fillId="8" borderId="34" xfId="0" applyNumberFormat="1" applyFont="1" applyFill="1" applyBorder="1" applyAlignment="1">
      <alignment horizontal="center" vertical="center"/>
    </xf>
    <xf numFmtId="1" fontId="25" fillId="3" borderId="3" xfId="0" applyNumberFormat="1" applyFont="1" applyFill="1" applyBorder="1" applyAlignment="1">
      <alignment horizontal="center" vertical="center"/>
    </xf>
    <xf numFmtId="2" fontId="26" fillId="8" borderId="59" xfId="0" applyNumberFormat="1" applyFont="1" applyFill="1" applyBorder="1" applyAlignment="1">
      <alignment horizontal="center" vertical="center"/>
    </xf>
    <xf numFmtId="165" fontId="26" fillId="8" borderId="57" xfId="0" applyNumberFormat="1" applyFont="1" applyFill="1" applyBorder="1" applyAlignment="1">
      <alignment horizontal="center" vertical="center"/>
    </xf>
    <xf numFmtId="1" fontId="25" fillId="3" borderId="2" xfId="0" applyNumberFormat="1" applyFont="1" applyFill="1" applyBorder="1" applyAlignment="1">
      <alignment horizontal="center" vertical="center"/>
    </xf>
    <xf numFmtId="2" fontId="26" fillId="8" borderId="44" xfId="0" applyNumberFormat="1" applyFont="1" applyFill="1" applyBorder="1" applyAlignment="1">
      <alignment horizontal="center" vertical="center"/>
    </xf>
    <xf numFmtId="165" fontId="26" fillId="8" borderId="53" xfId="0" applyNumberFormat="1" applyFont="1" applyFill="1" applyBorder="1" applyAlignment="1">
      <alignment horizontal="center" vertical="center"/>
    </xf>
    <xf numFmtId="1" fontId="25" fillId="3" borderId="39" xfId="0" applyNumberFormat="1" applyFont="1" applyFill="1" applyBorder="1" applyAlignment="1">
      <alignment horizontal="center" vertical="center"/>
    </xf>
    <xf numFmtId="0" fontId="13" fillId="10" borderId="39" xfId="0" applyFont="1" applyFill="1" applyBorder="1" applyAlignment="1">
      <alignment horizontal="center" vertical="center" wrapText="1"/>
    </xf>
    <xf numFmtId="0" fontId="13" fillId="10" borderId="40" xfId="0" applyFont="1" applyFill="1" applyBorder="1" applyAlignment="1">
      <alignment horizontal="center" vertical="center" wrapText="1"/>
    </xf>
    <xf numFmtId="0" fontId="13" fillId="10" borderId="42" xfId="0" applyFont="1" applyFill="1" applyBorder="1" applyAlignment="1">
      <alignment horizontal="center" vertical="center" wrapText="1"/>
    </xf>
    <xf numFmtId="164" fontId="10" fillId="11" borderId="26" xfId="0" applyNumberFormat="1" applyFont="1" applyFill="1" applyBorder="1" applyAlignment="1">
      <alignment horizontal="center" vertical="center" wrapText="1"/>
    </xf>
    <xf numFmtId="164" fontId="10" fillId="11" borderId="18" xfId="0" applyNumberFormat="1" applyFont="1" applyFill="1" applyBorder="1" applyAlignment="1">
      <alignment horizontal="center" vertical="center" wrapText="1"/>
    </xf>
    <xf numFmtId="164" fontId="10" fillId="11" borderId="47" xfId="0" applyNumberFormat="1" applyFont="1" applyFill="1" applyBorder="1" applyAlignment="1">
      <alignment horizontal="center" vertical="center" wrapText="1"/>
    </xf>
    <xf numFmtId="0" fontId="13" fillId="10" borderId="41" xfId="0" applyFont="1" applyFill="1" applyBorder="1" applyAlignment="1">
      <alignment horizontal="center" vertical="center" wrapText="1"/>
    </xf>
    <xf numFmtId="0" fontId="13" fillId="10" borderId="49" xfId="0" applyFont="1" applyFill="1" applyBorder="1" applyAlignment="1">
      <alignment horizontal="center" vertical="center" wrapText="1"/>
    </xf>
    <xf numFmtId="0" fontId="13" fillId="10" borderId="36" xfId="0" applyFont="1" applyFill="1" applyBorder="1" applyAlignment="1">
      <alignment horizontal="center" vertical="center" wrapText="1"/>
    </xf>
    <xf numFmtId="10" fontId="27" fillId="0" borderId="31" xfId="0" applyNumberFormat="1" applyFont="1" applyBorder="1" applyAlignment="1">
      <alignment horizontal="center" vertical="center" wrapText="1"/>
    </xf>
    <xf numFmtId="10" fontId="27" fillId="0" borderId="34" xfId="0" applyNumberFormat="1" applyFont="1" applyBorder="1" applyAlignment="1">
      <alignment horizontal="center" vertical="center" wrapText="1"/>
    </xf>
    <xf numFmtId="10" fontId="27" fillId="0" borderId="44" xfId="0" applyNumberFormat="1" applyFont="1" applyBorder="1" applyAlignment="1">
      <alignment horizontal="center" vertical="center" wrapText="1"/>
    </xf>
    <xf numFmtId="2" fontId="27" fillId="0" borderId="48" xfId="0" applyNumberFormat="1" applyFont="1" applyBorder="1" applyAlignment="1">
      <alignment horizontal="center" vertical="center" wrapText="1"/>
    </xf>
    <xf numFmtId="10" fontId="27" fillId="0" borderId="32" xfId="0" applyNumberFormat="1" applyFont="1" applyBorder="1" applyAlignment="1">
      <alignment horizontal="center" vertical="center" wrapText="1"/>
    </xf>
    <xf numFmtId="10" fontId="27" fillId="0" borderId="33" xfId="0" applyNumberFormat="1" applyFont="1" applyBorder="1" applyAlignment="1">
      <alignment horizontal="center" vertical="center" wrapText="1"/>
    </xf>
    <xf numFmtId="0" fontId="13" fillId="12" borderId="39" xfId="0" applyFont="1" applyFill="1" applyBorder="1" applyAlignment="1">
      <alignment horizontal="center" vertical="center" wrapText="1"/>
    </xf>
    <xf numFmtId="0" fontId="13" fillId="12" borderId="40" xfId="0" applyFont="1" applyFill="1" applyBorder="1" applyAlignment="1">
      <alignment horizontal="center" vertical="center" wrapText="1"/>
    </xf>
    <xf numFmtId="0" fontId="13" fillId="12" borderId="41" xfId="0" applyFont="1" applyFill="1" applyBorder="1" applyAlignment="1">
      <alignment horizontal="center" vertical="center" wrapText="1"/>
    </xf>
    <xf numFmtId="0" fontId="13" fillId="12" borderId="43" xfId="0" applyFont="1" applyFill="1" applyBorder="1" applyAlignment="1">
      <alignment horizontal="center" vertical="center" wrapText="1"/>
    </xf>
    <xf numFmtId="0" fontId="13" fillId="12" borderId="42" xfId="0" applyFont="1" applyFill="1" applyBorder="1" applyAlignment="1">
      <alignment horizontal="center" vertical="center" wrapText="1"/>
    </xf>
    <xf numFmtId="0" fontId="13" fillId="12" borderId="36" xfId="0" applyFont="1" applyFill="1" applyBorder="1" applyAlignment="1">
      <alignment horizontal="center" vertical="center" wrapText="1"/>
    </xf>
    <xf numFmtId="0" fontId="13" fillId="12" borderId="49" xfId="0" applyFont="1" applyFill="1" applyBorder="1" applyAlignment="1">
      <alignment horizontal="center" vertical="center" wrapText="1"/>
    </xf>
    <xf numFmtId="0" fontId="13" fillId="12" borderId="51" xfId="0" applyFont="1" applyFill="1" applyBorder="1" applyAlignment="1">
      <alignment horizontal="center" vertical="center" wrapText="1"/>
    </xf>
    <xf numFmtId="164" fontId="10" fillId="13" borderId="29" xfId="0" applyNumberFormat="1" applyFont="1" applyFill="1" applyBorder="1" applyAlignment="1">
      <alignment horizontal="center" vertical="center" wrapText="1"/>
    </xf>
    <xf numFmtId="164" fontId="10" fillId="13" borderId="17" xfId="0" applyNumberFormat="1" applyFont="1" applyFill="1" applyBorder="1" applyAlignment="1">
      <alignment horizontal="center" vertical="center" wrapText="1"/>
    </xf>
    <xf numFmtId="164" fontId="10" fillId="13" borderId="45" xfId="0" applyNumberFormat="1" applyFont="1" applyFill="1" applyBorder="1" applyAlignment="1">
      <alignment horizontal="center" vertical="center" wrapText="1"/>
    </xf>
    <xf numFmtId="164" fontId="10" fillId="13" borderId="27" xfId="0" applyNumberFormat="1" applyFont="1" applyFill="1" applyBorder="1" applyAlignment="1">
      <alignment horizontal="center" vertical="center" wrapText="1"/>
    </xf>
    <xf numFmtId="164" fontId="10" fillId="13" borderId="16" xfId="0" applyNumberFormat="1" applyFont="1" applyFill="1" applyBorder="1" applyAlignment="1">
      <alignment horizontal="center" vertical="center" wrapText="1"/>
    </xf>
    <xf numFmtId="164" fontId="10" fillId="13" borderId="35" xfId="0" applyNumberFormat="1" applyFont="1" applyFill="1" applyBorder="1" applyAlignment="1">
      <alignment horizontal="center" vertical="center" wrapText="1"/>
    </xf>
    <xf numFmtId="164" fontId="10" fillId="13" borderId="30" xfId="0" applyNumberFormat="1" applyFont="1" applyFill="1" applyBorder="1" applyAlignment="1">
      <alignment horizontal="center" vertical="center" wrapText="1"/>
    </xf>
    <xf numFmtId="164" fontId="10" fillId="13" borderId="21" xfId="0" applyNumberFormat="1" applyFont="1" applyFill="1" applyBorder="1" applyAlignment="1">
      <alignment horizontal="center" vertical="center" wrapText="1"/>
    </xf>
    <xf numFmtId="164" fontId="10" fillId="13" borderId="46" xfId="0" applyNumberFormat="1" applyFont="1" applyFill="1" applyBorder="1" applyAlignment="1">
      <alignment horizontal="center" vertical="center" wrapText="1"/>
    </xf>
    <xf numFmtId="164" fontId="10" fillId="13" borderId="31" xfId="0" applyNumberFormat="1" applyFont="1" applyFill="1" applyBorder="1" applyAlignment="1">
      <alignment horizontal="center" vertical="center" wrapText="1"/>
    </xf>
    <xf numFmtId="164" fontId="10" fillId="13" borderId="19" xfId="0" applyNumberFormat="1" applyFont="1" applyFill="1" applyBorder="1" applyAlignment="1">
      <alignment horizontal="center" vertical="center" wrapText="1"/>
    </xf>
    <xf numFmtId="164" fontId="10" fillId="13" borderId="28" xfId="0" applyNumberFormat="1" applyFont="1" applyFill="1" applyBorder="1" applyAlignment="1">
      <alignment horizontal="center" vertical="center" wrapText="1"/>
    </xf>
    <xf numFmtId="164" fontId="10" fillId="13" borderId="37" xfId="0" applyNumberFormat="1" applyFont="1" applyFill="1" applyBorder="1" applyAlignment="1">
      <alignment horizontal="center" vertical="center" wrapText="1"/>
    </xf>
    <xf numFmtId="164" fontId="10" fillId="13" borderId="26" xfId="0" applyNumberFormat="1" applyFont="1" applyFill="1" applyBorder="1" applyAlignment="1">
      <alignment horizontal="center" vertical="center" wrapText="1"/>
    </xf>
    <xf numFmtId="164" fontId="10" fillId="13" borderId="18" xfId="0" applyNumberFormat="1" applyFont="1" applyFill="1" applyBorder="1" applyAlignment="1">
      <alignment horizontal="center" vertical="center" wrapText="1"/>
    </xf>
    <xf numFmtId="164" fontId="10" fillId="13" borderId="47" xfId="0" applyNumberFormat="1" applyFont="1" applyFill="1" applyBorder="1" applyAlignment="1">
      <alignment horizontal="center" vertical="center" wrapText="1"/>
    </xf>
    <xf numFmtId="164" fontId="10" fillId="13" borderId="23" xfId="0" applyNumberFormat="1" applyFont="1" applyFill="1" applyBorder="1" applyAlignment="1">
      <alignment horizontal="center" vertical="center" wrapText="1"/>
    </xf>
    <xf numFmtId="164" fontId="10" fillId="13" borderId="33" xfId="0" applyNumberFormat="1" applyFont="1" applyFill="1" applyBorder="1" applyAlignment="1">
      <alignment horizontal="center" vertical="center" wrapText="1"/>
    </xf>
    <xf numFmtId="164" fontId="10" fillId="13" borderId="22" xfId="0" applyNumberFormat="1" applyFont="1" applyFill="1" applyBorder="1" applyAlignment="1">
      <alignment horizontal="center" vertical="center" wrapText="1"/>
    </xf>
    <xf numFmtId="164" fontId="10" fillId="11" borderId="27" xfId="0" applyNumberFormat="1" applyFont="1" applyFill="1" applyBorder="1" applyAlignment="1">
      <alignment horizontal="center" vertical="center" wrapText="1"/>
    </xf>
    <xf numFmtId="164" fontId="10" fillId="11" borderId="16" xfId="0" applyNumberFormat="1" applyFont="1" applyFill="1" applyBorder="1" applyAlignment="1">
      <alignment horizontal="center" vertical="center" wrapText="1"/>
    </xf>
    <xf numFmtId="164" fontId="10" fillId="11" borderId="35" xfId="0" applyNumberFormat="1" applyFont="1" applyFill="1" applyBorder="1" applyAlignment="1">
      <alignment horizontal="center" vertical="center" wrapText="1"/>
    </xf>
    <xf numFmtId="164" fontId="10" fillId="11" borderId="28" xfId="0" applyNumberFormat="1" applyFont="1" applyFill="1" applyBorder="1" applyAlignment="1">
      <alignment horizontal="center" vertical="center" wrapText="1"/>
    </xf>
    <xf numFmtId="164" fontId="10" fillId="11" borderId="21" xfId="0" applyNumberFormat="1" applyFont="1" applyFill="1" applyBorder="1" applyAlignment="1">
      <alignment horizontal="center" vertical="center" wrapText="1"/>
    </xf>
    <xf numFmtId="164" fontId="10" fillId="11" borderId="37" xfId="0" applyNumberFormat="1" applyFont="1" applyFill="1" applyBorder="1" applyAlignment="1">
      <alignment horizontal="center" vertical="center" wrapText="1"/>
    </xf>
    <xf numFmtId="164" fontId="10" fillId="11" borderId="22" xfId="0" applyNumberFormat="1" applyFont="1" applyFill="1" applyBorder="1" applyAlignment="1">
      <alignment horizontal="center" vertical="center" wrapText="1"/>
    </xf>
    <xf numFmtId="164" fontId="10" fillId="11" borderId="17" xfId="0" applyNumberFormat="1" applyFont="1" applyFill="1" applyBorder="1" applyAlignment="1">
      <alignment horizontal="center" vertical="center" wrapText="1"/>
    </xf>
    <xf numFmtId="164" fontId="10" fillId="11" borderId="45" xfId="0" applyNumberFormat="1" applyFont="1" applyFill="1" applyBorder="1" applyAlignment="1">
      <alignment horizontal="center" vertical="center" wrapText="1"/>
    </xf>
    <xf numFmtId="164" fontId="10" fillId="11" borderId="23" xfId="0" applyNumberFormat="1" applyFont="1" applyFill="1" applyBorder="1" applyAlignment="1">
      <alignment horizontal="center" vertical="center" wrapText="1"/>
    </xf>
    <xf numFmtId="164" fontId="10" fillId="11" borderId="46" xfId="0" applyNumberFormat="1" applyFont="1" applyFill="1" applyBorder="1" applyAlignment="1">
      <alignment horizontal="center" vertical="center" wrapText="1"/>
    </xf>
    <xf numFmtId="164" fontId="10" fillId="11" borderId="20" xfId="0" applyNumberFormat="1" applyFont="1" applyFill="1" applyBorder="1" applyAlignment="1">
      <alignment horizontal="center" vertical="center" wrapText="1"/>
    </xf>
    <xf numFmtId="164" fontId="10" fillId="11" borderId="19" xfId="0" applyNumberFormat="1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" fontId="25" fillId="3" borderId="0" xfId="0" applyNumberFormat="1" applyFont="1" applyFill="1" applyAlignment="1">
      <alignment horizontal="center" vertical="center"/>
    </xf>
    <xf numFmtId="2" fontId="26" fillId="3" borderId="0" xfId="0" applyNumberFormat="1" applyFont="1" applyFill="1" applyAlignment="1">
      <alignment horizontal="center" vertical="center"/>
    </xf>
    <xf numFmtId="165" fontId="26" fillId="3" borderId="0" xfId="0" applyNumberFormat="1" applyFont="1" applyFill="1" applyAlignment="1">
      <alignment horizontal="center" vertical="center"/>
    </xf>
    <xf numFmtId="0" fontId="0" fillId="0" borderId="10" xfId="0" applyBorder="1"/>
    <xf numFmtId="165" fontId="28" fillId="9" borderId="20" xfId="0" applyNumberFormat="1" applyFont="1" applyFill="1" applyBorder="1" applyAlignment="1">
      <alignment horizontal="center" vertical="center"/>
    </xf>
    <xf numFmtId="2" fontId="22" fillId="8" borderId="17" xfId="0" applyNumberFormat="1" applyFont="1" applyFill="1" applyBorder="1" applyAlignment="1">
      <alignment horizontal="center" vertical="center"/>
    </xf>
    <xf numFmtId="165" fontId="22" fillId="8" borderId="16" xfId="0" applyNumberFormat="1" applyFont="1" applyFill="1" applyBorder="1" applyAlignment="1">
      <alignment horizontal="center" vertical="center"/>
    </xf>
    <xf numFmtId="2" fontId="22" fillId="8" borderId="16" xfId="0" applyNumberFormat="1" applyFont="1" applyFill="1" applyBorder="1" applyAlignment="1">
      <alignment horizontal="center" vertical="center"/>
    </xf>
    <xf numFmtId="2" fontId="22" fillId="8" borderId="23" xfId="0" applyNumberFormat="1" applyFont="1" applyFill="1" applyBorder="1" applyAlignment="1">
      <alignment horizontal="center" vertical="center"/>
    </xf>
    <xf numFmtId="165" fontId="22" fillId="8" borderId="23" xfId="0" applyNumberFormat="1" applyFont="1" applyFill="1" applyBorder="1" applyAlignment="1">
      <alignment horizontal="center" vertical="center"/>
    </xf>
    <xf numFmtId="2" fontId="22" fillId="8" borderId="31" xfId="0" applyNumberFormat="1" applyFont="1" applyFill="1" applyBorder="1" applyAlignment="1">
      <alignment horizontal="center" vertical="center"/>
    </xf>
    <xf numFmtId="165" fontId="22" fillId="8" borderId="18" xfId="0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165" fontId="26" fillId="9" borderId="15" xfId="0" applyNumberFormat="1" applyFont="1" applyFill="1" applyBorder="1" applyAlignment="1">
      <alignment horizontal="center" vertical="center"/>
    </xf>
    <xf numFmtId="165" fontId="26" fillId="9" borderId="10" xfId="0" applyNumberFormat="1" applyFont="1" applyFill="1" applyBorder="1" applyAlignment="1">
      <alignment horizontal="center" vertical="center"/>
    </xf>
    <xf numFmtId="0" fontId="30" fillId="2" borderId="42" xfId="0" applyFont="1" applyFill="1" applyBorder="1" applyAlignment="1">
      <alignment horizontal="center" vertical="center"/>
    </xf>
    <xf numFmtId="164" fontId="26" fillId="9" borderId="44" xfId="0" applyNumberFormat="1" applyFont="1" applyFill="1" applyBorder="1" applyAlignment="1">
      <alignment horizontal="center" vertical="center"/>
    </xf>
    <xf numFmtId="164" fontId="26" fillId="9" borderId="60" xfId="0" applyNumberFormat="1" applyFont="1" applyFill="1" applyBorder="1" applyAlignment="1">
      <alignment horizontal="center" vertical="center"/>
    </xf>
    <xf numFmtId="0" fontId="30" fillId="2" borderId="43" xfId="0" applyFont="1" applyFill="1" applyBorder="1" applyAlignment="1">
      <alignment horizontal="center" vertical="center"/>
    </xf>
    <xf numFmtId="0" fontId="30" fillId="2" borderId="40" xfId="0" applyFont="1" applyFill="1" applyBorder="1" applyAlignment="1">
      <alignment horizontal="center" vertical="center"/>
    </xf>
    <xf numFmtId="165" fontId="28" fillId="9" borderId="15" xfId="0" applyNumberFormat="1" applyFont="1" applyFill="1" applyBorder="1" applyAlignment="1">
      <alignment horizontal="center" vertical="center"/>
    </xf>
    <xf numFmtId="165" fontId="28" fillId="9" borderId="10" xfId="0" applyNumberFormat="1" applyFont="1" applyFill="1" applyBorder="1" applyAlignment="1">
      <alignment horizontal="center" vertical="center"/>
    </xf>
    <xf numFmtId="165" fontId="28" fillId="9" borderId="4" xfId="0" applyNumberFormat="1" applyFont="1" applyFill="1" applyBorder="1" applyAlignment="1">
      <alignment horizontal="center" vertical="center"/>
    </xf>
    <xf numFmtId="165" fontId="28" fillId="9" borderId="19" xfId="0" applyNumberFormat="1" applyFont="1" applyFill="1" applyBorder="1" applyAlignment="1">
      <alignment horizontal="center" vertical="center"/>
    </xf>
    <xf numFmtId="165" fontId="28" fillId="9" borderId="25" xfId="0" applyNumberFormat="1" applyFont="1" applyFill="1" applyBorder="1" applyAlignment="1">
      <alignment horizontal="center" vertical="center"/>
    </xf>
    <xf numFmtId="165" fontId="28" fillId="9" borderId="22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 wrapText="1"/>
    </xf>
    <xf numFmtId="166" fontId="27" fillId="0" borderId="62" xfId="0" applyNumberFormat="1" applyFont="1" applyBorder="1" applyAlignment="1">
      <alignment horizontal="center" vertical="center" wrapText="1"/>
    </xf>
    <xf numFmtId="2" fontId="27" fillId="0" borderId="61" xfId="0" applyNumberFormat="1" applyFont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167" fontId="27" fillId="0" borderId="5" xfId="0" applyNumberFormat="1" applyFont="1" applyBorder="1" applyAlignment="1">
      <alignment horizontal="center" vertical="center" wrapText="1"/>
    </xf>
    <xf numFmtId="164" fontId="26" fillId="9" borderId="63" xfId="0" applyNumberFormat="1" applyFont="1" applyFill="1" applyBorder="1" applyAlignment="1">
      <alignment horizontal="center" vertical="center"/>
    </xf>
    <xf numFmtId="164" fontId="26" fillId="9" borderId="64" xfId="0" applyNumberFormat="1" applyFont="1" applyFill="1" applyBorder="1" applyAlignment="1">
      <alignment horizontal="center" vertical="center"/>
    </xf>
    <xf numFmtId="165" fontId="26" fillId="9" borderId="65" xfId="0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164" fontId="28" fillId="9" borderId="53" xfId="0" applyNumberFormat="1" applyFont="1" applyFill="1" applyBorder="1" applyAlignment="1">
      <alignment horizontal="center" vertical="center"/>
    </xf>
    <xf numFmtId="166" fontId="27" fillId="0" borderId="52" xfId="0" applyNumberFormat="1" applyFont="1" applyBorder="1" applyAlignment="1">
      <alignment horizontal="center" vertical="center" wrapText="1"/>
    </xf>
    <xf numFmtId="0" fontId="25" fillId="2" borderId="42" xfId="0" applyFont="1" applyFill="1" applyBorder="1" applyAlignment="1">
      <alignment horizontal="center" vertical="center"/>
    </xf>
    <xf numFmtId="166" fontId="27" fillId="0" borderId="56" xfId="0" applyNumberFormat="1" applyFont="1" applyBorder="1" applyAlignment="1">
      <alignment horizontal="center" vertical="center" wrapText="1"/>
    </xf>
    <xf numFmtId="166" fontId="27" fillId="0" borderId="59" xfId="0" applyNumberFormat="1" applyFont="1" applyBorder="1" applyAlignment="1">
      <alignment horizontal="center" vertical="center" wrapText="1"/>
    </xf>
    <xf numFmtId="164" fontId="28" fillId="9" borderId="27" xfId="0" applyNumberFormat="1" applyFont="1" applyFill="1" applyBorder="1" applyAlignment="1">
      <alignment horizontal="center" vertical="center"/>
    </xf>
    <xf numFmtId="164" fontId="28" fillId="9" borderId="58" xfId="0" applyNumberFormat="1" applyFont="1" applyFill="1" applyBorder="1" applyAlignment="1">
      <alignment horizontal="center" vertical="center"/>
    </xf>
    <xf numFmtId="164" fontId="28" fillId="9" borderId="60" xfId="0" applyNumberFormat="1" applyFont="1" applyFill="1" applyBorder="1" applyAlignment="1">
      <alignment horizontal="center" vertical="center"/>
    </xf>
    <xf numFmtId="167" fontId="27" fillId="0" borderId="42" xfId="0" applyNumberFormat="1" applyFont="1" applyBorder="1" applyAlignment="1">
      <alignment horizontal="center" vertical="center" wrapText="1"/>
    </xf>
    <xf numFmtId="167" fontId="27" fillId="0" borderId="43" xfId="0" applyNumberFormat="1" applyFont="1" applyBorder="1" applyAlignment="1">
      <alignment horizontal="center" vertical="center" wrapText="1"/>
    </xf>
    <xf numFmtId="167" fontId="27" fillId="0" borderId="2" xfId="0" applyNumberFormat="1" applyFont="1" applyBorder="1" applyAlignment="1">
      <alignment horizontal="center" vertical="center" wrapText="1"/>
    </xf>
    <xf numFmtId="164" fontId="26" fillId="9" borderId="32" xfId="0" applyNumberFormat="1" applyFont="1" applyFill="1" applyBorder="1" applyAlignment="1">
      <alignment horizontal="center" vertical="center"/>
    </xf>
    <xf numFmtId="164" fontId="28" fillId="9" borderId="44" xfId="0" applyNumberFormat="1" applyFont="1" applyFill="1" applyBorder="1" applyAlignment="1">
      <alignment horizontal="center" vertical="center"/>
    </xf>
    <xf numFmtId="164" fontId="28" fillId="9" borderId="56" xfId="0" applyNumberFormat="1" applyFont="1" applyFill="1" applyBorder="1" applyAlignment="1">
      <alignment horizontal="center" vertical="center"/>
    </xf>
    <xf numFmtId="164" fontId="28" fillId="9" borderId="57" xfId="0" applyNumberFormat="1" applyFont="1" applyFill="1" applyBorder="1" applyAlignment="1">
      <alignment horizontal="center" vertical="center"/>
    </xf>
    <xf numFmtId="165" fontId="26" fillId="14" borderId="10" xfId="0" applyNumberFormat="1" applyFont="1" applyFill="1" applyBorder="1" applyAlignment="1">
      <alignment horizontal="center" vertical="center"/>
    </xf>
    <xf numFmtId="165" fontId="26" fillId="9" borderId="4" xfId="0" applyNumberFormat="1" applyFont="1" applyFill="1" applyBorder="1" applyAlignment="1">
      <alignment horizontal="center" vertical="center"/>
    </xf>
    <xf numFmtId="165" fontId="26" fillId="9" borderId="0" xfId="0" applyNumberFormat="1" applyFont="1" applyFill="1" applyAlignment="1">
      <alignment horizontal="center" vertical="center"/>
    </xf>
    <xf numFmtId="164" fontId="26" fillId="9" borderId="58" xfId="0" applyNumberFormat="1" applyFont="1" applyFill="1" applyBorder="1" applyAlignment="1">
      <alignment horizontal="center" vertical="center"/>
    </xf>
    <xf numFmtId="164" fontId="26" fillId="9" borderId="59" xfId="0" applyNumberFormat="1" applyFont="1" applyFill="1" applyBorder="1" applyAlignment="1">
      <alignment horizontal="center" vertical="center"/>
    </xf>
    <xf numFmtId="164" fontId="26" fillId="14" borderId="53" xfId="0" applyNumberFormat="1" applyFont="1" applyFill="1" applyBorder="1" applyAlignment="1">
      <alignment horizontal="center" vertical="center"/>
    </xf>
    <xf numFmtId="165" fontId="26" fillId="9" borderId="49" xfId="0" applyNumberFormat="1" applyFont="1" applyFill="1" applyBorder="1" applyAlignment="1">
      <alignment horizontal="center" vertical="center"/>
    </xf>
    <xf numFmtId="164" fontId="26" fillId="14" borderId="32" xfId="0" applyNumberFormat="1" applyFont="1" applyFill="1" applyBorder="1" applyAlignment="1">
      <alignment horizontal="center" vertical="center"/>
    </xf>
    <xf numFmtId="164" fontId="26" fillId="14" borderId="16" xfId="0" applyNumberFormat="1" applyFont="1" applyFill="1" applyBorder="1" applyAlignment="1">
      <alignment horizontal="center" vertical="center"/>
    </xf>
    <xf numFmtId="165" fontId="26" fillId="14" borderId="36" xfId="0" applyNumberFormat="1" applyFont="1" applyFill="1" applyBorder="1" applyAlignment="1">
      <alignment horizontal="center" vertical="center"/>
    </xf>
    <xf numFmtId="165" fontId="26" fillId="9" borderId="36" xfId="0" applyNumberFormat="1" applyFont="1" applyFill="1" applyBorder="1" applyAlignment="1">
      <alignment horizontal="center" vertical="center"/>
    </xf>
    <xf numFmtId="164" fontId="26" fillId="14" borderId="27" xfId="0" applyNumberFormat="1" applyFont="1" applyFill="1" applyBorder="1" applyAlignment="1">
      <alignment horizontal="center" vertical="center"/>
    </xf>
    <xf numFmtId="165" fontId="26" fillId="9" borderId="51" xfId="0" applyNumberFormat="1" applyFont="1" applyFill="1" applyBorder="1" applyAlignment="1">
      <alignment horizontal="center" vertical="center"/>
    </xf>
    <xf numFmtId="164" fontId="26" fillId="14" borderId="56" xfId="0" applyNumberFormat="1" applyFont="1" applyFill="1" applyBorder="1" applyAlignment="1">
      <alignment horizontal="center" vertical="center"/>
    </xf>
    <xf numFmtId="164" fontId="26" fillId="14" borderId="23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 wrapText="1"/>
    </xf>
    <xf numFmtId="0" fontId="13" fillId="3" borderId="68" xfId="0" applyFont="1" applyFill="1" applyBorder="1" applyAlignment="1">
      <alignment horizontal="center" vertical="center" wrapText="1"/>
    </xf>
    <xf numFmtId="0" fontId="13" fillId="3" borderId="67" xfId="0" applyFont="1" applyFill="1" applyBorder="1" applyAlignment="1">
      <alignment horizontal="center" vertical="center" wrapText="1"/>
    </xf>
    <xf numFmtId="0" fontId="13" fillId="3" borderId="66" xfId="0" applyFont="1" applyFill="1" applyBorder="1" applyAlignment="1">
      <alignment horizontal="center" vertical="center" wrapText="1"/>
    </xf>
    <xf numFmtId="165" fontId="26" fillId="15" borderId="16" xfId="0" applyNumberFormat="1" applyFont="1" applyFill="1" applyBorder="1" applyAlignment="1">
      <alignment horizontal="center" vertical="center"/>
    </xf>
    <xf numFmtId="2" fontId="26" fillId="15" borderId="32" xfId="0" applyNumberFormat="1" applyFont="1" applyFill="1" applyBorder="1" applyAlignment="1">
      <alignment horizontal="center" vertical="center"/>
    </xf>
    <xf numFmtId="165" fontId="26" fillId="15" borderId="20" xfId="0" applyNumberFormat="1" applyFont="1" applyFill="1" applyBorder="1" applyAlignment="1">
      <alignment horizontal="center" vertical="center"/>
    </xf>
    <xf numFmtId="2" fontId="26" fillId="8" borderId="32" xfId="0" applyNumberFormat="1" applyFont="1" applyFill="1" applyBorder="1" applyAlignment="1">
      <alignment horizontal="center" vertical="center"/>
    </xf>
    <xf numFmtId="165" fontId="29" fillId="8" borderId="22" xfId="0" applyNumberFormat="1" applyFont="1" applyFill="1" applyBorder="1" applyAlignment="1">
      <alignment horizontal="center" vertical="center"/>
    </xf>
    <xf numFmtId="165" fontId="26" fillId="8" borderId="54" xfId="0" applyNumberFormat="1" applyFont="1" applyFill="1" applyBorder="1" applyAlignment="1">
      <alignment horizontal="center" vertical="center"/>
    </xf>
    <xf numFmtId="165" fontId="22" fillId="8" borderId="22" xfId="0" applyNumberFormat="1" applyFont="1" applyFill="1" applyBorder="1" applyAlignment="1">
      <alignment horizontal="center" vertical="center"/>
    </xf>
    <xf numFmtId="165" fontId="22" fillId="8" borderId="17" xfId="0" applyNumberFormat="1" applyFont="1" applyFill="1" applyBorder="1" applyAlignment="1">
      <alignment horizontal="center" vertical="center"/>
    </xf>
    <xf numFmtId="165" fontId="22" fillId="8" borderId="19" xfId="0" applyNumberFormat="1" applyFont="1" applyFill="1" applyBorder="1" applyAlignment="1">
      <alignment horizontal="center" vertical="center"/>
    </xf>
    <xf numFmtId="165" fontId="26" fillId="8" borderId="61" xfId="0" applyNumberFormat="1" applyFont="1" applyFill="1" applyBorder="1" applyAlignment="1">
      <alignment horizontal="center" vertical="center"/>
    </xf>
    <xf numFmtId="165" fontId="26" fillId="8" borderId="48" xfId="0" applyNumberFormat="1" applyFont="1" applyFill="1" applyBorder="1" applyAlignment="1">
      <alignment horizontal="center" vertical="center"/>
    </xf>
    <xf numFmtId="2" fontId="26" fillId="8" borderId="56" xfId="0" applyNumberFormat="1" applyFont="1" applyFill="1" applyBorder="1" applyAlignment="1">
      <alignment horizontal="center" vertical="center"/>
    </xf>
    <xf numFmtId="1" fontId="25" fillId="3" borderId="40" xfId="0" applyNumberFormat="1" applyFont="1" applyFill="1" applyBorder="1" applyAlignment="1">
      <alignment horizontal="center" vertical="center"/>
    </xf>
    <xf numFmtId="11" fontId="10" fillId="11" borderId="29" xfId="0" applyNumberFormat="1" applyFont="1" applyFill="1" applyBorder="1" applyAlignment="1">
      <alignment horizontal="center" vertical="center" wrapText="1"/>
    </xf>
    <xf numFmtId="11" fontId="10" fillId="11" borderId="30" xfId="0" applyNumberFormat="1" applyFont="1" applyFill="1" applyBorder="1" applyAlignment="1">
      <alignment horizontal="center" vertical="center" wrapText="1"/>
    </xf>
    <xf numFmtId="11" fontId="10" fillId="11" borderId="27" xfId="0" applyNumberFormat="1" applyFont="1" applyFill="1" applyBorder="1" applyAlignment="1">
      <alignment horizontal="center" vertical="center" wrapText="1"/>
    </xf>
    <xf numFmtId="11" fontId="10" fillId="11" borderId="26" xfId="0" applyNumberFormat="1" applyFont="1" applyFill="1" applyBorder="1" applyAlignment="1">
      <alignment horizontal="center" vertical="center" wrapText="1"/>
    </xf>
    <xf numFmtId="11" fontId="10" fillId="11" borderId="32" xfId="0" applyNumberFormat="1" applyFont="1" applyFill="1" applyBorder="1" applyAlignment="1">
      <alignment horizontal="center" vertical="center" wrapText="1"/>
    </xf>
    <xf numFmtId="11" fontId="10" fillId="11" borderId="33" xfId="0" applyNumberFormat="1" applyFont="1" applyFill="1" applyBorder="1" applyAlignment="1">
      <alignment horizontal="center" vertical="center" wrapText="1"/>
    </xf>
    <xf numFmtId="11" fontId="10" fillId="11" borderId="31" xfId="0" applyNumberFormat="1" applyFont="1" applyFill="1" applyBorder="1" applyAlignment="1">
      <alignment horizontal="center" vertical="center" wrapText="1"/>
    </xf>
    <xf numFmtId="11" fontId="10" fillId="11" borderId="28" xfId="0" applyNumberFormat="1" applyFont="1" applyFill="1" applyBorder="1" applyAlignment="1">
      <alignment horizontal="center" vertical="center" wrapText="1"/>
    </xf>
    <xf numFmtId="11" fontId="10" fillId="13" borderId="18" xfId="0" applyNumberFormat="1" applyFont="1" applyFill="1" applyBorder="1" applyAlignment="1">
      <alignment horizontal="center" vertical="center" wrapText="1"/>
    </xf>
    <xf numFmtId="11" fontId="10" fillId="13" borderId="45" xfId="0" applyNumberFormat="1" applyFont="1" applyFill="1" applyBorder="1" applyAlignment="1">
      <alignment horizontal="center" vertical="center" wrapText="1"/>
    </xf>
    <xf numFmtId="11" fontId="10" fillId="13" borderId="16" xfId="0" applyNumberFormat="1" applyFont="1" applyFill="1" applyBorder="1" applyAlignment="1">
      <alignment horizontal="center" vertical="center" wrapText="1"/>
    </xf>
    <xf numFmtId="11" fontId="10" fillId="13" borderId="35" xfId="0" applyNumberFormat="1" applyFont="1" applyFill="1" applyBorder="1" applyAlignment="1">
      <alignment horizontal="center" vertical="center" wrapText="1"/>
    </xf>
    <xf numFmtId="11" fontId="10" fillId="13" borderId="21" xfId="0" applyNumberFormat="1" applyFont="1" applyFill="1" applyBorder="1" applyAlignment="1">
      <alignment horizontal="center" vertical="center" wrapText="1"/>
    </xf>
    <xf numFmtId="11" fontId="10" fillId="13" borderId="37" xfId="0" applyNumberFormat="1" applyFont="1" applyFill="1" applyBorder="1" applyAlignment="1">
      <alignment horizontal="center" vertical="center" wrapText="1"/>
    </xf>
    <xf numFmtId="11" fontId="10" fillId="13" borderId="47" xfId="0" applyNumberFormat="1" applyFont="1" applyFill="1" applyBorder="1" applyAlignment="1">
      <alignment horizontal="center" vertical="center" wrapText="1"/>
    </xf>
    <xf numFmtId="167" fontId="27" fillId="0" borderId="10" xfId="0" applyNumberFormat="1" applyFont="1" applyBorder="1" applyAlignment="1">
      <alignment horizontal="center" vertical="center" wrapText="1"/>
    </xf>
    <xf numFmtId="164" fontId="28" fillId="9" borderId="59" xfId="0" applyNumberFormat="1" applyFont="1" applyFill="1" applyBorder="1" applyAlignment="1">
      <alignment horizontal="center" vertical="center"/>
    </xf>
    <xf numFmtId="2" fontId="22" fillId="8" borderId="33" xfId="0" applyNumberFormat="1" applyFont="1" applyFill="1" applyBorder="1" applyAlignment="1">
      <alignment horizontal="center" vertical="center"/>
    </xf>
    <xf numFmtId="165" fontId="26" fillId="8" borderId="0" xfId="0" applyNumberFormat="1" applyFont="1" applyFill="1" applyAlignment="1">
      <alignment horizontal="center" vertical="center"/>
    </xf>
    <xf numFmtId="165" fontId="26" fillId="15" borderId="0" xfId="0" applyNumberFormat="1" applyFont="1" applyFill="1" applyAlignment="1">
      <alignment horizontal="center" vertical="center"/>
    </xf>
    <xf numFmtId="165" fontId="26" fillId="15" borderId="15" xfId="0" applyNumberFormat="1" applyFont="1" applyFill="1" applyBorder="1" applyAlignment="1">
      <alignment horizontal="center" vertical="center"/>
    </xf>
    <xf numFmtId="165" fontId="26" fillId="15" borderId="55" xfId="0" applyNumberFormat="1" applyFont="1" applyFill="1" applyBorder="1" applyAlignment="1">
      <alignment horizontal="center" vertical="center"/>
    </xf>
    <xf numFmtId="2" fontId="26" fillId="15" borderId="58" xfId="0" applyNumberFormat="1" applyFont="1" applyFill="1" applyBorder="1" applyAlignment="1">
      <alignment horizontal="center" vertical="center"/>
    </xf>
    <xf numFmtId="2" fontId="26" fillId="15" borderId="56" xfId="0" applyNumberFormat="1" applyFont="1" applyFill="1" applyBorder="1" applyAlignment="1">
      <alignment horizontal="center" vertical="center"/>
    </xf>
    <xf numFmtId="0" fontId="7" fillId="16" borderId="10" xfId="0" applyFont="1" applyFill="1" applyBorder="1"/>
    <xf numFmtId="0" fontId="26" fillId="17" borderId="26" xfId="0" applyFont="1" applyFill="1" applyBorder="1" applyAlignment="1">
      <alignment horizontal="center" vertical="center"/>
    </xf>
    <xf numFmtId="164" fontId="26" fillId="17" borderId="17" xfId="0" applyNumberFormat="1" applyFont="1" applyFill="1" applyBorder="1" applyAlignment="1">
      <alignment horizontal="center" vertical="center"/>
    </xf>
    <xf numFmtId="165" fontId="26" fillId="17" borderId="19" xfId="0" applyNumberFormat="1" applyFont="1" applyFill="1" applyBorder="1" applyAlignment="1">
      <alignment horizontal="center" vertical="center"/>
    </xf>
    <xf numFmtId="0" fontId="26" fillId="17" borderId="27" xfId="0" applyFont="1" applyFill="1" applyBorder="1" applyAlignment="1">
      <alignment horizontal="center" vertical="center"/>
    </xf>
    <xf numFmtId="164" fontId="26" fillId="17" borderId="16" xfId="0" applyNumberFormat="1" applyFont="1" applyFill="1" applyBorder="1" applyAlignment="1">
      <alignment horizontal="center" vertical="center"/>
    </xf>
    <xf numFmtId="165" fontId="26" fillId="17" borderId="20" xfId="0" applyNumberFormat="1" applyFont="1" applyFill="1" applyBorder="1" applyAlignment="1">
      <alignment horizontal="center" vertical="center"/>
    </xf>
    <xf numFmtId="0" fontId="26" fillId="17" borderId="28" xfId="0" applyFont="1" applyFill="1" applyBorder="1" applyAlignment="1">
      <alignment horizontal="center" vertical="center"/>
    </xf>
    <xf numFmtId="164" fontId="26" fillId="17" borderId="21" xfId="0" applyNumberFormat="1" applyFont="1" applyFill="1" applyBorder="1" applyAlignment="1">
      <alignment horizontal="center" vertical="center"/>
    </xf>
    <xf numFmtId="165" fontId="26" fillId="17" borderId="22" xfId="0" applyNumberFormat="1" applyFont="1" applyFill="1" applyBorder="1" applyAlignment="1">
      <alignment horizontal="center" vertical="center"/>
    </xf>
    <xf numFmtId="0" fontId="26" fillId="17" borderId="29" xfId="0" applyFont="1" applyFill="1" applyBorder="1" applyAlignment="1">
      <alignment horizontal="center" vertical="center"/>
    </xf>
    <xf numFmtId="165" fontId="26" fillId="17" borderId="24" xfId="0" applyNumberFormat="1" applyFont="1" applyFill="1" applyBorder="1" applyAlignment="1">
      <alignment horizontal="center" vertical="center"/>
    </xf>
    <xf numFmtId="0" fontId="26" fillId="17" borderId="30" xfId="0" applyFont="1" applyFill="1" applyBorder="1" applyAlignment="1">
      <alignment horizontal="center" vertical="center"/>
    </xf>
    <xf numFmtId="164" fontId="26" fillId="17" borderId="23" xfId="0" applyNumberFormat="1" applyFont="1" applyFill="1" applyBorder="1" applyAlignment="1">
      <alignment horizontal="center" vertical="center"/>
    </xf>
    <xf numFmtId="165" fontId="26" fillId="17" borderId="25" xfId="0" applyNumberFormat="1" applyFont="1" applyFill="1" applyBorder="1" applyAlignment="1">
      <alignment horizontal="center" vertical="center"/>
    </xf>
    <xf numFmtId="0" fontId="26" fillId="17" borderId="33" xfId="0" applyFont="1" applyFill="1" applyBorder="1" applyAlignment="1">
      <alignment horizontal="center" vertical="center"/>
    </xf>
    <xf numFmtId="0" fontId="26" fillId="17" borderId="32" xfId="0" applyFont="1" applyFill="1" applyBorder="1" applyAlignment="1">
      <alignment horizontal="center" vertical="center"/>
    </xf>
    <xf numFmtId="164" fontId="26" fillId="17" borderId="53" xfId="0" applyNumberFormat="1" applyFont="1" applyFill="1" applyBorder="1" applyAlignment="1">
      <alignment horizontal="center" vertical="center"/>
    </xf>
    <xf numFmtId="0" fontId="26" fillId="17" borderId="62" xfId="0" applyFont="1" applyFill="1" applyBorder="1" applyAlignment="1">
      <alignment horizontal="center" vertical="center"/>
    </xf>
    <xf numFmtId="164" fontId="26" fillId="17" borderId="57" xfId="0" applyNumberFormat="1" applyFont="1" applyFill="1" applyBorder="1" applyAlignment="1">
      <alignment horizontal="center" vertical="center"/>
    </xf>
    <xf numFmtId="165" fontId="26" fillId="17" borderId="61" xfId="0" applyNumberFormat="1" applyFont="1" applyFill="1" applyBorder="1" applyAlignment="1">
      <alignment horizontal="center" vertical="center"/>
    </xf>
    <xf numFmtId="0" fontId="26" fillId="17" borderId="59" xfId="0" applyFont="1" applyFill="1" applyBorder="1" applyAlignment="1">
      <alignment horizontal="center" vertical="center"/>
    </xf>
    <xf numFmtId="0" fontId="28" fillId="18" borderId="27" xfId="0" applyFont="1" applyFill="1" applyBorder="1" applyAlignment="1">
      <alignment horizontal="center" vertical="center"/>
    </xf>
    <xf numFmtId="164" fontId="28" fillId="18" borderId="16" xfId="0" applyNumberFormat="1" applyFont="1" applyFill="1" applyBorder="1" applyAlignment="1">
      <alignment horizontal="center" vertical="center"/>
    </xf>
    <xf numFmtId="165" fontId="28" fillId="18" borderId="19" xfId="0" applyNumberFormat="1" applyFont="1" applyFill="1" applyBorder="1" applyAlignment="1">
      <alignment horizontal="center" vertical="center"/>
    </xf>
    <xf numFmtId="165" fontId="28" fillId="18" borderId="20" xfId="0" applyNumberFormat="1" applyFont="1" applyFill="1" applyBorder="1" applyAlignment="1">
      <alignment horizontal="center" vertical="center"/>
    </xf>
    <xf numFmtId="0" fontId="28" fillId="18" borderId="30" xfId="0" applyFont="1" applyFill="1" applyBorder="1" applyAlignment="1">
      <alignment horizontal="center" vertical="center"/>
    </xf>
    <xf numFmtId="164" fontId="28" fillId="18" borderId="23" xfId="0" applyNumberFormat="1" applyFont="1" applyFill="1" applyBorder="1" applyAlignment="1">
      <alignment horizontal="center" vertical="center"/>
    </xf>
    <xf numFmtId="165" fontId="28" fillId="18" borderId="25" xfId="0" applyNumberFormat="1" applyFont="1" applyFill="1" applyBorder="1" applyAlignment="1">
      <alignment horizontal="center" vertical="center"/>
    </xf>
    <xf numFmtId="0" fontId="26" fillId="17" borderId="31" xfId="0" applyFont="1" applyFill="1" applyBorder="1" applyAlignment="1">
      <alignment horizontal="center" vertical="center"/>
    </xf>
    <xf numFmtId="164" fontId="26" fillId="17" borderId="18" xfId="0" applyNumberFormat="1" applyFont="1" applyFill="1" applyBorder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165" fontId="26" fillId="17" borderId="54" xfId="0" applyNumberFormat="1" applyFont="1" applyFill="1" applyBorder="1" applyAlignment="1">
      <alignment horizontal="center" vertical="center"/>
    </xf>
    <xf numFmtId="165" fontId="26" fillId="17" borderId="35" xfId="0" applyNumberFormat="1" applyFont="1" applyFill="1" applyBorder="1" applyAlignment="1">
      <alignment horizontal="center" vertical="center"/>
    </xf>
    <xf numFmtId="0" fontId="28" fillId="18" borderId="17" xfId="0" applyFont="1" applyFill="1" applyBorder="1" applyAlignment="1">
      <alignment horizontal="center" vertical="center"/>
    </xf>
    <xf numFmtId="164" fontId="28" fillId="18" borderId="17" xfId="0" applyNumberFormat="1" applyFont="1" applyFill="1" applyBorder="1" applyAlignment="1">
      <alignment horizontal="center" vertical="center"/>
    </xf>
    <xf numFmtId="165" fontId="28" fillId="18" borderId="24" xfId="0" applyNumberFormat="1" applyFont="1" applyFill="1" applyBorder="1" applyAlignment="1">
      <alignment horizontal="center" vertical="center"/>
    </xf>
    <xf numFmtId="0" fontId="28" fillId="18" borderId="16" xfId="0" applyFont="1" applyFill="1" applyBorder="1" applyAlignment="1">
      <alignment horizontal="center" vertical="center"/>
    </xf>
    <xf numFmtId="164" fontId="28" fillId="18" borderId="18" xfId="0" applyNumberFormat="1" applyFont="1" applyFill="1" applyBorder="1" applyAlignment="1">
      <alignment horizontal="center" vertical="center"/>
    </xf>
    <xf numFmtId="0" fontId="28" fillId="18" borderId="23" xfId="0" applyFont="1" applyFill="1" applyBorder="1" applyAlignment="1">
      <alignment horizontal="center" vertical="center"/>
    </xf>
    <xf numFmtId="0" fontId="28" fillId="18" borderId="31" xfId="0" applyFont="1" applyFill="1" applyBorder="1" applyAlignment="1">
      <alignment horizontal="center" vertical="center"/>
    </xf>
    <xf numFmtId="165" fontId="28" fillId="18" borderId="48" xfId="0" applyNumberFormat="1" applyFont="1" applyFill="1" applyBorder="1" applyAlignment="1">
      <alignment horizontal="center" vertical="center"/>
    </xf>
    <xf numFmtId="0" fontId="26" fillId="17" borderId="44" xfId="0" applyFont="1" applyFill="1" applyBorder="1" applyAlignment="1">
      <alignment horizontal="center" vertical="center"/>
    </xf>
    <xf numFmtId="165" fontId="26" fillId="17" borderId="48" xfId="0" applyNumberFormat="1" applyFont="1" applyFill="1" applyBorder="1" applyAlignment="1">
      <alignment horizontal="center" vertical="center"/>
    </xf>
    <xf numFmtId="0" fontId="26" fillId="17" borderId="56" xfId="0" applyFont="1" applyFill="1" applyBorder="1" applyAlignment="1">
      <alignment horizontal="center" vertical="center"/>
    </xf>
    <xf numFmtId="0" fontId="26" fillId="17" borderId="34" xfId="0" applyFont="1" applyFill="1" applyBorder="1" applyAlignment="1">
      <alignment horizontal="center" vertical="center"/>
    </xf>
    <xf numFmtId="0" fontId="2" fillId="16" borderId="13" xfId="0" applyFont="1" applyFill="1" applyBorder="1"/>
    <xf numFmtId="0" fontId="2" fillId="16" borderId="14" xfId="0" applyFont="1" applyFill="1" applyBorder="1"/>
    <xf numFmtId="0" fontId="2" fillId="16" borderId="15" xfId="0" applyFont="1" applyFill="1" applyBorder="1"/>
    <xf numFmtId="0" fontId="6" fillId="16" borderId="9" xfId="0" applyFont="1" applyFill="1" applyBorder="1"/>
    <xf numFmtId="0" fontId="7" fillId="16" borderId="0" xfId="0" applyFont="1" applyFill="1"/>
    <xf numFmtId="0" fontId="7" fillId="16" borderId="9" xfId="0" applyFont="1" applyFill="1" applyBorder="1"/>
    <xf numFmtId="0" fontId="9" fillId="4" borderId="9" xfId="2" applyNumberFormat="1" applyFont="1" applyBorder="1" applyAlignment="1" applyProtection="1">
      <protection locked="0"/>
    </xf>
    <xf numFmtId="0" fontId="9" fillId="4" borderId="0" xfId="2" applyNumberFormat="1" applyFont="1" applyBorder="1" applyAlignment="1" applyProtection="1">
      <protection locked="0"/>
    </xf>
    <xf numFmtId="0" fontId="9" fillId="4" borderId="10" xfId="2" applyNumberFormat="1" applyFont="1" applyBorder="1" applyAlignment="1" applyProtection="1">
      <protection locked="0"/>
    </xf>
    <xf numFmtId="0" fontId="9" fillId="4" borderId="8" xfId="2" applyNumberFormat="1" applyFont="1" applyBorder="1" applyAlignment="1" applyProtection="1">
      <protection locked="0"/>
    </xf>
    <xf numFmtId="0" fontId="9" fillId="4" borderId="7" xfId="2" applyNumberFormat="1" applyFont="1" applyBorder="1" applyAlignment="1" applyProtection="1">
      <protection locked="0"/>
    </xf>
    <xf numFmtId="0" fontId="9" fillId="4" borderId="4" xfId="2" applyNumberFormat="1" applyFont="1" applyBorder="1" applyAlignment="1" applyProtection="1">
      <protection locked="0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9" fillId="2" borderId="0" xfId="0" applyFont="1" applyFill="1" applyProtection="1"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0" fillId="10" borderId="14" xfId="0" applyFill="1" applyBorder="1"/>
    <xf numFmtId="0" fontId="14" fillId="10" borderId="14" xfId="0" applyFont="1" applyFill="1" applyBorder="1"/>
    <xf numFmtId="0" fontId="0" fillId="10" borderId="15" xfId="0" applyFill="1" applyBorder="1"/>
    <xf numFmtId="0" fontId="7" fillId="10" borderId="0" xfId="0" applyFont="1" applyFill="1"/>
    <xf numFmtId="0" fontId="0" fillId="10" borderId="9" xfId="0" applyFill="1" applyBorder="1"/>
    <xf numFmtId="0" fontId="6" fillId="10" borderId="0" xfId="0" applyFont="1" applyFill="1"/>
    <xf numFmtId="0" fontId="9" fillId="10" borderId="0" xfId="0" applyFont="1" applyFill="1" applyProtection="1">
      <protection locked="0"/>
    </xf>
    <xf numFmtId="0" fontId="9" fillId="10" borderId="9" xfId="0" applyFont="1" applyFill="1" applyBorder="1" applyProtection="1">
      <protection locked="0"/>
    </xf>
    <xf numFmtId="0" fontId="9" fillId="10" borderId="7" xfId="0" applyFont="1" applyFill="1" applyBorder="1" applyProtection="1">
      <protection locked="0"/>
    </xf>
    <xf numFmtId="0" fontId="9" fillId="10" borderId="12" xfId="0" applyFont="1" applyFill="1" applyBorder="1" applyProtection="1">
      <protection locked="0"/>
    </xf>
    <xf numFmtId="0" fontId="11" fillId="16" borderId="11" xfId="0" applyFont="1" applyFill="1" applyBorder="1" applyAlignment="1">
      <alignment horizontal="center" vertical="center"/>
    </xf>
    <xf numFmtId="0" fontId="11" fillId="16" borderId="5" xfId="0" applyFont="1" applyFill="1" applyBorder="1" applyAlignment="1">
      <alignment horizontal="center" vertical="center" wrapText="1"/>
    </xf>
    <xf numFmtId="0" fontId="11" fillId="16" borderId="5" xfId="0" applyFont="1" applyFill="1" applyBorder="1" applyAlignment="1">
      <alignment horizontal="center" vertical="center"/>
    </xf>
    <xf numFmtId="0" fontId="11" fillId="16" borderId="10" xfId="0" applyFont="1" applyFill="1" applyBorder="1" applyAlignment="1">
      <alignment horizontal="center" vertical="center"/>
    </xf>
    <xf numFmtId="0" fontId="0" fillId="16" borderId="0" xfId="0" applyFill="1"/>
    <xf numFmtId="0" fontId="0" fillId="16" borderId="7" xfId="0" applyFill="1" applyBorder="1"/>
    <xf numFmtId="0" fontId="25" fillId="16" borderId="43" xfId="0" applyFont="1" applyFill="1" applyBorder="1" applyAlignment="1">
      <alignment horizontal="center" vertical="center" wrapText="1"/>
    </xf>
    <xf numFmtId="0" fontId="25" fillId="16" borderId="40" xfId="0" applyFont="1" applyFill="1" applyBorder="1" applyAlignment="1">
      <alignment horizontal="center" vertical="center" wrapText="1"/>
    </xf>
    <xf numFmtId="0" fontId="25" fillId="16" borderId="41" xfId="0" applyFont="1" applyFill="1" applyBorder="1" applyAlignment="1">
      <alignment horizontal="center" vertical="center" wrapText="1"/>
    </xf>
    <xf numFmtId="0" fontId="25" fillId="16" borderId="42" xfId="0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13" fillId="16" borderId="43" xfId="0" applyFont="1" applyFill="1" applyBorder="1" applyAlignment="1">
      <alignment horizontal="center" vertical="center" wrapText="1"/>
    </xf>
    <xf numFmtId="0" fontId="13" fillId="16" borderId="40" xfId="0" applyFont="1" applyFill="1" applyBorder="1" applyAlignment="1">
      <alignment horizontal="center" vertical="center" wrapText="1"/>
    </xf>
    <xf numFmtId="0" fontId="13" fillId="16" borderId="41" xfId="0" applyFont="1" applyFill="1" applyBorder="1" applyAlignment="1">
      <alignment horizontal="center" vertical="center" wrapText="1"/>
    </xf>
    <xf numFmtId="0" fontId="13" fillId="16" borderId="39" xfId="0" applyFont="1" applyFill="1" applyBorder="1" applyAlignment="1">
      <alignment horizontal="center" vertical="center" wrapText="1"/>
    </xf>
    <xf numFmtId="49" fontId="25" fillId="16" borderId="43" xfId="0" applyNumberFormat="1" applyFont="1" applyFill="1" applyBorder="1" applyAlignment="1">
      <alignment horizontal="center" vertical="center"/>
    </xf>
    <xf numFmtId="49" fontId="25" fillId="16" borderId="40" xfId="0" applyNumberFormat="1" applyFont="1" applyFill="1" applyBorder="1" applyAlignment="1">
      <alignment horizontal="center" vertical="center"/>
    </xf>
    <xf numFmtId="49" fontId="25" fillId="16" borderId="41" xfId="0" applyNumberFormat="1" applyFont="1" applyFill="1" applyBorder="1" applyAlignment="1">
      <alignment horizontal="center" vertical="center"/>
    </xf>
    <xf numFmtId="0" fontId="25" fillId="16" borderId="43" xfId="3" applyFont="1" applyFill="1" applyBorder="1" applyAlignment="1">
      <alignment horizontal="center" vertical="center"/>
    </xf>
    <xf numFmtId="0" fontId="25" fillId="16" borderId="41" xfId="0" applyFont="1" applyFill="1" applyBorder="1" applyAlignment="1">
      <alignment horizontal="center" vertical="center"/>
    </xf>
    <xf numFmtId="0" fontId="25" fillId="16" borderId="43" xfId="0" applyFont="1" applyFill="1" applyBorder="1" applyAlignment="1">
      <alignment horizontal="center" vertical="center"/>
    </xf>
    <xf numFmtId="0" fontId="25" fillId="16" borderId="40" xfId="0" applyFont="1" applyFill="1" applyBorder="1" applyAlignment="1">
      <alignment horizontal="center" vertical="center"/>
    </xf>
    <xf numFmtId="49" fontId="25" fillId="16" borderId="39" xfId="0" applyNumberFormat="1" applyFont="1" applyFill="1" applyBorder="1" applyAlignment="1">
      <alignment horizontal="center" vertical="center"/>
    </xf>
    <xf numFmtId="0" fontId="25" fillId="16" borderId="2" xfId="0" applyFont="1" applyFill="1" applyBorder="1" applyAlignment="1">
      <alignment horizontal="center" vertical="center"/>
    </xf>
    <xf numFmtId="0" fontId="25" fillId="16" borderId="3" xfId="0" applyFont="1" applyFill="1" applyBorder="1" applyAlignment="1">
      <alignment horizontal="center" vertical="center"/>
    </xf>
    <xf numFmtId="0" fontId="25" fillId="16" borderId="39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vertical="top" wrapText="1"/>
    </xf>
    <xf numFmtId="2" fontId="3" fillId="16" borderId="12" xfId="0" applyNumberFormat="1" applyFont="1" applyFill="1" applyBorder="1" applyAlignment="1">
      <alignment vertical="top" wrapText="1"/>
    </xf>
    <xf numFmtId="164" fontId="3" fillId="16" borderId="12" xfId="0" applyNumberFormat="1" applyFont="1" applyFill="1" applyBorder="1" applyAlignment="1">
      <alignment vertical="top" wrapText="1"/>
    </xf>
    <xf numFmtId="166" fontId="8" fillId="16" borderId="12" xfId="0" applyNumberFormat="1" applyFont="1" applyFill="1" applyBorder="1" applyAlignment="1">
      <alignment vertical="top" wrapText="1"/>
    </xf>
    <xf numFmtId="2" fontId="8" fillId="16" borderId="15" xfId="0" applyNumberFormat="1" applyFont="1" applyFill="1" applyBorder="1" applyAlignment="1">
      <alignment vertical="top" wrapText="1"/>
    </xf>
    <xf numFmtId="0" fontId="0" fillId="16" borderId="10" xfId="0" applyFill="1" applyBorder="1"/>
    <xf numFmtId="0" fontId="0" fillId="16" borderId="4" xfId="0" applyFill="1" applyBorder="1"/>
    <xf numFmtId="0" fontId="7" fillId="3" borderId="0" xfId="0" applyFont="1" applyFill="1"/>
    <xf numFmtId="0" fontId="9" fillId="0" borderId="5" xfId="0" applyFont="1" applyBorder="1" applyAlignment="1" applyProtection="1">
      <alignment horizontal="center" vertical="center"/>
      <protection locked="0"/>
    </xf>
    <xf numFmtId="0" fontId="9" fillId="3" borderId="0" xfId="0" applyFont="1" applyFill="1" applyProtection="1">
      <protection locked="0"/>
    </xf>
    <xf numFmtId="0" fontId="9" fillId="3" borderId="10" xfId="0" applyFont="1" applyFill="1" applyBorder="1" applyProtection="1">
      <protection locked="0"/>
    </xf>
    <xf numFmtId="0" fontId="0" fillId="12" borderId="13" xfId="0" applyFill="1" applyBorder="1"/>
    <xf numFmtId="0" fontId="0" fillId="12" borderId="14" xfId="0" applyFill="1" applyBorder="1"/>
    <xf numFmtId="0" fontId="0" fillId="12" borderId="15" xfId="0" applyFill="1" applyBorder="1"/>
    <xf numFmtId="0" fontId="6" fillId="12" borderId="9" xfId="0" applyFont="1" applyFill="1" applyBorder="1"/>
    <xf numFmtId="0" fontId="7" fillId="12" borderId="0" xfId="0" applyFont="1" applyFill="1"/>
    <xf numFmtId="0" fontId="0" fillId="12" borderId="0" xfId="0" applyFill="1"/>
    <xf numFmtId="0" fontId="6" fillId="12" borderId="0" xfId="0" applyFont="1" applyFill="1"/>
    <xf numFmtId="0" fontId="9" fillId="12" borderId="0" xfId="0" applyFont="1" applyFill="1" applyProtection="1">
      <protection locked="0"/>
    </xf>
    <xf numFmtId="0" fontId="9" fillId="12" borderId="7" xfId="0" applyFont="1" applyFill="1" applyBorder="1" applyProtection="1">
      <protection locked="0"/>
    </xf>
    <xf numFmtId="0" fontId="9" fillId="12" borderId="12" xfId="0" applyFont="1" applyFill="1" applyBorder="1" applyProtection="1">
      <protection locked="0"/>
    </xf>
    <xf numFmtId="0" fontId="0" fillId="0" borderId="2" xfId="0" applyBorder="1"/>
    <xf numFmtId="0" fontId="25" fillId="16" borderId="39" xfId="0" applyFont="1" applyFill="1" applyBorder="1" applyAlignment="1">
      <alignment horizontal="center" vertical="center" wrapText="1"/>
    </xf>
    <xf numFmtId="164" fontId="26" fillId="14" borderId="30" xfId="0" applyNumberFormat="1" applyFont="1" applyFill="1" applyBorder="1" applyAlignment="1">
      <alignment horizontal="center" vertical="center"/>
    </xf>
    <xf numFmtId="164" fontId="26" fillId="14" borderId="21" xfId="0" applyNumberFormat="1" applyFont="1" applyFill="1" applyBorder="1" applyAlignment="1">
      <alignment horizontal="center" vertical="center"/>
    </xf>
    <xf numFmtId="0" fontId="26" fillId="17" borderId="52" xfId="0" applyFont="1" applyFill="1" applyBorder="1" applyAlignment="1">
      <alignment horizontal="center" vertical="center"/>
    </xf>
    <xf numFmtId="164" fontId="26" fillId="14" borderId="44" xfId="0" applyNumberFormat="1" applyFont="1" applyFill="1" applyBorder="1" applyAlignment="1">
      <alignment horizontal="center" vertical="center"/>
    </xf>
    <xf numFmtId="164" fontId="26" fillId="14" borderId="29" xfId="0" applyNumberFormat="1" applyFont="1" applyFill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 wrapText="1"/>
    </xf>
    <xf numFmtId="165" fontId="26" fillId="14" borderId="20" xfId="0" applyNumberFormat="1" applyFont="1" applyFill="1" applyBorder="1" applyAlignment="1">
      <alignment horizontal="center" vertical="center"/>
    </xf>
    <xf numFmtId="165" fontId="26" fillId="15" borderId="60" xfId="0" applyNumberFormat="1" applyFont="1" applyFill="1" applyBorder="1" applyAlignment="1">
      <alignment horizontal="center" vertical="center"/>
    </xf>
    <xf numFmtId="165" fontId="26" fillId="15" borderId="23" xfId="0" applyNumberFormat="1" applyFont="1" applyFill="1" applyBorder="1" applyAlignment="1">
      <alignment horizontal="center" vertical="center"/>
    </xf>
    <xf numFmtId="165" fontId="26" fillId="15" borderId="25" xfId="0" applyNumberFormat="1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 wrapText="1"/>
    </xf>
    <xf numFmtId="164" fontId="10" fillId="13" borderId="52" xfId="0" applyNumberFormat="1" applyFont="1" applyFill="1" applyBorder="1" applyAlignment="1">
      <alignment horizontal="center" vertical="center" wrapText="1"/>
    </xf>
    <xf numFmtId="164" fontId="10" fillId="13" borderId="53" xfId="0" applyNumberFormat="1" applyFont="1" applyFill="1" applyBorder="1" applyAlignment="1">
      <alignment horizontal="center" vertical="center" wrapText="1"/>
    </xf>
    <xf numFmtId="164" fontId="10" fillId="13" borderId="32" xfId="0" applyNumberFormat="1" applyFont="1" applyFill="1" applyBorder="1" applyAlignment="1">
      <alignment horizontal="center" vertical="center" wrapText="1"/>
    </xf>
    <xf numFmtId="164" fontId="10" fillId="11" borderId="48" xfId="0" applyNumberFormat="1" applyFont="1" applyFill="1" applyBorder="1" applyAlignment="1">
      <alignment horizontal="center" vertical="center" wrapText="1"/>
    </xf>
    <xf numFmtId="2" fontId="27" fillId="3" borderId="15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vertical="center"/>
    </xf>
    <xf numFmtId="164" fontId="28" fillId="18" borderId="53" xfId="0" applyNumberFormat="1" applyFont="1" applyFill="1" applyBorder="1" applyAlignment="1">
      <alignment horizontal="center" vertical="center"/>
    </xf>
    <xf numFmtId="2" fontId="22" fillId="8" borderId="44" xfId="0" applyNumberFormat="1" applyFont="1" applyFill="1" applyBorder="1" applyAlignment="1">
      <alignment horizontal="center" vertical="center"/>
    </xf>
    <xf numFmtId="166" fontId="27" fillId="0" borderId="44" xfId="0" applyNumberFormat="1" applyFont="1" applyBorder="1" applyAlignment="1">
      <alignment horizontal="center" vertical="center" wrapText="1"/>
    </xf>
    <xf numFmtId="166" fontId="27" fillId="0" borderId="58" xfId="0" applyNumberFormat="1" applyFont="1" applyBorder="1" applyAlignment="1">
      <alignment horizontal="center" vertical="center" wrapText="1"/>
    </xf>
    <xf numFmtId="166" fontId="27" fillId="0" borderId="34" xfId="0" applyNumberFormat="1" applyFont="1" applyBorder="1" applyAlignment="1">
      <alignment horizontal="center" vertical="center" wrapText="1"/>
    </xf>
    <xf numFmtId="2" fontId="26" fillId="8" borderId="52" xfId="0" applyNumberFormat="1" applyFont="1" applyFill="1" applyBorder="1" applyAlignment="1">
      <alignment horizontal="center" vertical="center"/>
    </xf>
    <xf numFmtId="0" fontId="25" fillId="16" borderId="2" xfId="3" applyFont="1" applyFill="1" applyBorder="1" applyAlignment="1">
      <alignment horizontal="center" vertical="center"/>
    </xf>
    <xf numFmtId="0" fontId="25" fillId="2" borderId="2" xfId="3" applyFont="1" applyFill="1" applyBorder="1" applyAlignment="1">
      <alignment horizontal="center" vertical="center"/>
    </xf>
    <xf numFmtId="0" fontId="25" fillId="16" borderId="42" xfId="0" applyFont="1" applyFill="1" applyBorder="1" applyAlignment="1">
      <alignment horizontal="center" vertical="center"/>
    </xf>
    <xf numFmtId="165" fontId="26" fillId="9" borderId="61" xfId="0" applyNumberFormat="1" applyFont="1" applyFill="1" applyBorder="1" applyAlignment="1">
      <alignment horizontal="center" vertical="center"/>
    </xf>
    <xf numFmtId="165" fontId="10" fillId="8" borderId="17" xfId="0" applyNumberFormat="1" applyFont="1" applyFill="1" applyBorder="1" applyAlignment="1">
      <alignment horizontal="center" vertical="center" wrapText="1"/>
    </xf>
    <xf numFmtId="165" fontId="22" fillId="8" borderId="53" xfId="0" applyNumberFormat="1" applyFont="1" applyFill="1" applyBorder="1" applyAlignment="1">
      <alignment horizontal="center" vertical="center"/>
    </xf>
    <xf numFmtId="165" fontId="22" fillId="8" borderId="69" xfId="0" applyNumberFormat="1" applyFont="1" applyFill="1" applyBorder="1" applyAlignment="1">
      <alignment horizontal="center" vertical="center"/>
    </xf>
    <xf numFmtId="165" fontId="22" fillId="8" borderId="21" xfId="0" applyNumberFormat="1" applyFont="1" applyFill="1" applyBorder="1" applyAlignment="1">
      <alignment horizontal="center" vertical="center"/>
    </xf>
    <xf numFmtId="165" fontId="22" fillId="8" borderId="54" xfId="0" applyNumberFormat="1" applyFont="1" applyFill="1" applyBorder="1" applyAlignment="1">
      <alignment horizontal="center" vertical="center"/>
    </xf>
    <xf numFmtId="165" fontId="22" fillId="8" borderId="25" xfId="0" applyNumberFormat="1" applyFont="1" applyFill="1" applyBorder="1" applyAlignment="1">
      <alignment horizontal="center" vertical="center"/>
    </xf>
    <xf numFmtId="165" fontId="22" fillId="8" borderId="20" xfId="0" applyNumberFormat="1" applyFont="1" applyFill="1" applyBorder="1" applyAlignment="1">
      <alignment horizontal="center" vertical="center"/>
    </xf>
    <xf numFmtId="2" fontId="22" fillId="8" borderId="32" xfId="0" applyNumberFormat="1" applyFont="1" applyFill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vertical="center" wrapText="1"/>
    </xf>
    <xf numFmtId="0" fontId="11" fillId="4" borderId="9" xfId="2" applyFont="1" applyBorder="1" applyAlignment="1"/>
    <xf numFmtId="0" fontId="11" fillId="4" borderId="0" xfId="2" applyFont="1" applyBorder="1" applyAlignment="1"/>
    <xf numFmtId="0" fontId="11" fillId="4" borderId="10" xfId="2" applyFont="1" applyBorder="1" applyAlignment="1"/>
    <xf numFmtId="0" fontId="6" fillId="2" borderId="0" xfId="0" applyFont="1" applyFill="1"/>
    <xf numFmtId="0" fontId="6" fillId="2" borderId="10" xfId="0" applyFont="1" applyFill="1" applyBorder="1"/>
    <xf numFmtId="0" fontId="13" fillId="2" borderId="51" xfId="0" applyFont="1" applyFill="1" applyBorder="1" applyAlignment="1">
      <alignment horizontal="center" vertical="center" wrapText="1"/>
    </xf>
    <xf numFmtId="165" fontId="28" fillId="9" borderId="61" xfId="0" applyNumberFormat="1" applyFont="1" applyFill="1" applyBorder="1" applyAlignment="1">
      <alignment horizontal="center" vertical="center"/>
    </xf>
    <xf numFmtId="0" fontId="28" fillId="18" borderId="56" xfId="0" applyFont="1" applyFill="1" applyBorder="1" applyAlignment="1">
      <alignment horizontal="center" vertical="center"/>
    </xf>
    <xf numFmtId="164" fontId="26" fillId="9" borderId="52" xfId="0" applyNumberFormat="1" applyFont="1" applyFill="1" applyBorder="1" applyAlignment="1">
      <alignment horizontal="center" vertical="center"/>
    </xf>
    <xf numFmtId="0" fontId="26" fillId="17" borderId="58" xfId="0" applyFont="1" applyFill="1" applyBorder="1" applyAlignment="1">
      <alignment horizontal="center" vertical="center"/>
    </xf>
    <xf numFmtId="164" fontId="26" fillId="17" borderId="60" xfId="0" applyNumberFormat="1" applyFont="1" applyFill="1" applyBorder="1" applyAlignment="1">
      <alignment horizontal="center" vertical="center"/>
    </xf>
    <xf numFmtId="165" fontId="28" fillId="9" borderId="48" xfId="0" applyNumberFormat="1" applyFont="1" applyFill="1" applyBorder="1" applyAlignment="1">
      <alignment horizontal="center" vertical="center"/>
    </xf>
    <xf numFmtId="164" fontId="28" fillId="9" borderId="32" xfId="0" applyNumberFormat="1" applyFont="1" applyFill="1" applyBorder="1" applyAlignment="1">
      <alignment horizontal="center" vertical="center"/>
    </xf>
    <xf numFmtId="167" fontId="27" fillId="0" borderId="1" xfId="0" applyNumberFormat="1" applyFont="1" applyBorder="1" applyAlignment="1">
      <alignment horizontal="center" vertical="center" wrapText="1"/>
    </xf>
    <xf numFmtId="1" fontId="25" fillId="16" borderId="2" xfId="0" applyNumberFormat="1" applyFont="1" applyFill="1" applyBorder="1" applyAlignment="1">
      <alignment horizontal="center" vertical="center"/>
    </xf>
    <xf numFmtId="1" fontId="25" fillId="16" borderId="42" xfId="0" applyNumberFormat="1" applyFont="1" applyFill="1" applyBorder="1" applyAlignment="1">
      <alignment horizontal="center" vertical="center"/>
    </xf>
    <xf numFmtId="1" fontId="25" fillId="16" borderId="41" xfId="0" applyNumberFormat="1" applyFont="1" applyFill="1" applyBorder="1" applyAlignment="1">
      <alignment horizontal="center" vertical="center"/>
    </xf>
    <xf numFmtId="1" fontId="25" fillId="16" borderId="39" xfId="0" applyNumberFormat="1" applyFont="1" applyFill="1" applyBorder="1" applyAlignment="1">
      <alignment horizontal="center" vertical="center"/>
    </xf>
    <xf numFmtId="1" fontId="25" fillId="16" borderId="40" xfId="0" applyNumberFormat="1" applyFont="1" applyFill="1" applyBorder="1" applyAlignment="1">
      <alignment horizontal="center" vertical="center"/>
    </xf>
    <xf numFmtId="1" fontId="25" fillId="16" borderId="43" xfId="0" applyNumberFormat="1" applyFont="1" applyFill="1" applyBorder="1" applyAlignment="1">
      <alignment horizontal="center" vertical="center"/>
    </xf>
    <xf numFmtId="1" fontId="25" fillId="16" borderId="1" xfId="0" applyNumberFormat="1" applyFont="1" applyFill="1" applyBorder="1" applyAlignment="1">
      <alignment horizontal="center" vertical="center"/>
    </xf>
    <xf numFmtId="1" fontId="25" fillId="16" borderId="3" xfId="0" applyNumberFormat="1" applyFont="1" applyFill="1" applyBorder="1" applyAlignment="1">
      <alignment horizontal="center" vertical="center"/>
    </xf>
    <xf numFmtId="0" fontId="25" fillId="16" borderId="10" xfId="0" applyFont="1" applyFill="1" applyBorder="1" applyAlignment="1">
      <alignment horizontal="center" vertical="center"/>
    </xf>
    <xf numFmtId="0" fontId="25" fillId="16" borderId="36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2" fontId="27" fillId="0" borderId="4" xfId="0" applyNumberFormat="1" applyFont="1" applyBorder="1" applyAlignment="1">
      <alignment horizontal="center" vertical="center" wrapText="1"/>
    </xf>
    <xf numFmtId="165" fontId="26" fillId="8" borderId="62" xfId="0" applyNumberFormat="1" applyFont="1" applyFill="1" applyBorder="1" applyAlignment="1">
      <alignment horizontal="center" vertical="center"/>
    </xf>
    <xf numFmtId="2" fontId="26" fillId="3" borderId="14" xfId="0" applyNumberFormat="1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165" fontId="26" fillId="17" borderId="38" xfId="0" applyNumberFormat="1" applyFont="1" applyFill="1" applyBorder="1" applyAlignment="1">
      <alignment horizontal="center" vertical="center"/>
    </xf>
    <xf numFmtId="2" fontId="26" fillId="17" borderId="33" xfId="0" applyNumberFormat="1" applyFont="1" applyFill="1" applyBorder="1" applyAlignment="1">
      <alignment horizontal="center" vertical="center"/>
    </xf>
    <xf numFmtId="165" fontId="26" fillId="9" borderId="38" xfId="0" applyNumberFormat="1" applyFont="1" applyFill="1" applyBorder="1" applyAlignment="1">
      <alignment horizontal="center" vertical="center"/>
    </xf>
    <xf numFmtId="165" fontId="26" fillId="8" borderId="46" xfId="0" applyNumberFormat="1" applyFont="1" applyFill="1" applyBorder="1" applyAlignment="1">
      <alignment horizontal="center" vertical="center"/>
    </xf>
    <xf numFmtId="0" fontId="26" fillId="8" borderId="56" xfId="0" applyFont="1" applyFill="1" applyBorder="1" applyAlignment="1">
      <alignment horizontal="center" vertical="center"/>
    </xf>
    <xf numFmtId="165" fontId="26" fillId="8" borderId="70" xfId="0" applyNumberFormat="1" applyFont="1" applyFill="1" applyBorder="1" applyAlignment="1">
      <alignment horizontal="center" vertical="center"/>
    </xf>
    <xf numFmtId="165" fontId="26" fillId="8" borderId="37" xfId="0" applyNumberFormat="1" applyFont="1" applyFill="1" applyBorder="1" applyAlignment="1">
      <alignment horizontal="center" vertical="center"/>
    </xf>
    <xf numFmtId="165" fontId="26" fillId="9" borderId="54" xfId="0" applyNumberFormat="1" applyFont="1" applyFill="1" applyBorder="1" applyAlignment="1">
      <alignment horizontal="center" vertical="center"/>
    </xf>
    <xf numFmtId="165" fontId="26" fillId="8" borderId="60" xfId="0" applyNumberFormat="1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43" xfId="0" applyFont="1" applyFill="1" applyBorder="1" applyAlignment="1">
      <alignment horizontal="center" vertical="center" wrapText="1"/>
    </xf>
    <xf numFmtId="2" fontId="26" fillId="8" borderId="58" xfId="0" applyNumberFormat="1" applyFont="1" applyFill="1" applyBorder="1" applyAlignment="1">
      <alignment horizontal="center" vertical="center"/>
    </xf>
    <xf numFmtId="165" fontId="26" fillId="8" borderId="29" xfId="0" applyNumberFormat="1" applyFont="1" applyFill="1" applyBorder="1" applyAlignment="1">
      <alignment horizontal="center" vertical="center"/>
    </xf>
    <xf numFmtId="165" fontId="26" fillId="17" borderId="10" xfId="0" applyNumberFormat="1" applyFont="1" applyFill="1" applyBorder="1" applyAlignment="1">
      <alignment horizontal="center" vertical="center"/>
    </xf>
    <xf numFmtId="2" fontId="26" fillId="17" borderId="32" xfId="0" applyNumberFormat="1" applyFont="1" applyFill="1" applyBorder="1" applyAlignment="1">
      <alignment horizontal="center" vertical="center"/>
    </xf>
    <xf numFmtId="11" fontId="10" fillId="11" borderId="56" xfId="0" applyNumberFormat="1" applyFont="1" applyFill="1" applyBorder="1" applyAlignment="1">
      <alignment horizontal="center" vertical="center" wrapText="1"/>
    </xf>
    <xf numFmtId="164" fontId="10" fillId="11" borderId="25" xfId="0" applyNumberFormat="1" applyFont="1" applyFill="1" applyBorder="1" applyAlignment="1">
      <alignment horizontal="center" vertical="center" wrapText="1"/>
    </xf>
    <xf numFmtId="11" fontId="10" fillId="11" borderId="52" xfId="0" applyNumberFormat="1" applyFont="1" applyFill="1" applyBorder="1" applyAlignment="1">
      <alignment horizontal="center" vertical="center" wrapText="1"/>
    </xf>
    <xf numFmtId="164" fontId="10" fillId="11" borderId="53" xfId="0" applyNumberFormat="1" applyFont="1" applyFill="1" applyBorder="1" applyAlignment="1">
      <alignment horizontal="center" vertical="center" wrapText="1"/>
    </xf>
    <xf numFmtId="164" fontId="10" fillId="13" borderId="69" xfId="0" applyNumberFormat="1" applyFont="1" applyFill="1" applyBorder="1" applyAlignment="1">
      <alignment horizontal="center" vertical="center" wrapText="1"/>
    </xf>
    <xf numFmtId="0" fontId="13" fillId="10" borderId="50" xfId="0" applyFont="1" applyFill="1" applyBorder="1" applyAlignment="1">
      <alignment horizontal="center" vertical="center" wrapText="1"/>
    </xf>
    <xf numFmtId="164" fontId="10" fillId="11" borderId="30" xfId="0" applyNumberFormat="1" applyFont="1" applyFill="1" applyBorder="1" applyAlignment="1">
      <alignment horizontal="center" vertical="center" wrapText="1"/>
    </xf>
    <xf numFmtId="0" fontId="13" fillId="12" borderId="50" xfId="0" applyFont="1" applyFill="1" applyBorder="1" applyAlignment="1">
      <alignment horizontal="center" vertical="center" wrapText="1"/>
    </xf>
    <xf numFmtId="2" fontId="22" fillId="8" borderId="27" xfId="8" applyNumberFormat="1" applyFont="1" applyFill="1" applyBorder="1" applyAlignment="1">
      <alignment horizontal="center" vertical="center"/>
    </xf>
    <xf numFmtId="165" fontId="22" fillId="8" borderId="16" xfId="8" applyNumberFormat="1" applyFont="1" applyFill="1" applyBorder="1" applyAlignment="1">
      <alignment horizontal="center" vertical="center"/>
    </xf>
    <xf numFmtId="165" fontId="22" fillId="8" borderId="20" xfId="8" applyNumberFormat="1" applyFont="1" applyFill="1" applyBorder="1" applyAlignment="1">
      <alignment horizontal="center" vertical="center"/>
    </xf>
    <xf numFmtId="2" fontId="22" fillId="8" borderId="30" xfId="8" applyNumberFormat="1" applyFont="1" applyFill="1" applyBorder="1" applyAlignment="1">
      <alignment horizontal="center" vertical="center"/>
    </xf>
    <xf numFmtId="165" fontId="22" fillId="8" borderId="23" xfId="8" applyNumberFormat="1" applyFont="1" applyFill="1" applyBorder="1" applyAlignment="1">
      <alignment horizontal="center" vertical="center"/>
    </xf>
    <xf numFmtId="165" fontId="22" fillId="8" borderId="22" xfId="8" applyNumberFormat="1" applyFont="1" applyFill="1" applyBorder="1" applyAlignment="1">
      <alignment horizontal="center" vertical="center"/>
    </xf>
    <xf numFmtId="2" fontId="29" fillId="8" borderId="30" xfId="0" applyNumberFormat="1" applyFont="1" applyFill="1" applyBorder="1" applyAlignment="1">
      <alignment horizontal="center" vertical="center"/>
    </xf>
    <xf numFmtId="0" fontId="25" fillId="16" borderId="4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16" borderId="8" xfId="0" applyFill="1" applyBorder="1"/>
    <xf numFmtId="164" fontId="26" fillId="14" borderId="33" xfId="0" applyNumberFormat="1" applyFont="1" applyFill="1" applyBorder="1" applyAlignment="1">
      <alignment horizontal="center" vertical="center"/>
    </xf>
    <xf numFmtId="165" fontId="26" fillId="14" borderId="25" xfId="0" applyNumberFormat="1" applyFont="1" applyFill="1" applyBorder="1" applyAlignment="1">
      <alignment horizontal="center" vertical="center"/>
    </xf>
    <xf numFmtId="165" fontId="26" fillId="14" borderId="22" xfId="0" applyNumberFormat="1" applyFont="1" applyFill="1" applyBorder="1" applyAlignment="1">
      <alignment horizontal="center" vertical="center"/>
    </xf>
    <xf numFmtId="49" fontId="25" fillId="16" borderId="3" xfId="0" applyNumberFormat="1" applyFont="1" applyFill="1" applyBorder="1" applyAlignment="1">
      <alignment horizontal="center" vertical="center"/>
    </xf>
    <xf numFmtId="0" fontId="28" fillId="18" borderId="59" xfId="0" applyFont="1" applyFill="1" applyBorder="1" applyAlignment="1">
      <alignment horizontal="center" vertical="center"/>
    </xf>
    <xf numFmtId="0" fontId="28" fillId="18" borderId="32" xfId="0" applyFont="1" applyFill="1" applyBorder="1" applyAlignment="1">
      <alignment horizontal="center" vertical="center"/>
    </xf>
    <xf numFmtId="164" fontId="28" fillId="18" borderId="57" xfId="0" applyNumberFormat="1" applyFont="1" applyFill="1" applyBorder="1" applyAlignment="1">
      <alignment horizontal="center" vertical="center"/>
    </xf>
    <xf numFmtId="165" fontId="28" fillId="18" borderId="61" xfId="0" applyNumberFormat="1" applyFont="1" applyFill="1" applyBorder="1" applyAlignment="1">
      <alignment horizontal="center" vertical="center"/>
    </xf>
    <xf numFmtId="166" fontId="27" fillId="0" borderId="27" xfId="0" applyNumberFormat="1" applyFont="1" applyBorder="1" applyAlignment="1">
      <alignment horizontal="center" vertical="center" wrapText="1"/>
    </xf>
    <xf numFmtId="0" fontId="28" fillId="18" borderId="53" xfId="0" applyFont="1" applyFill="1" applyBorder="1" applyAlignment="1">
      <alignment horizontal="center" vertical="center"/>
    </xf>
    <xf numFmtId="2" fontId="22" fillId="8" borderId="53" xfId="0" applyNumberFormat="1" applyFont="1" applyFill="1" applyBorder="1" applyAlignment="1">
      <alignment horizontal="center" vertical="center"/>
    </xf>
    <xf numFmtId="165" fontId="22" fillId="8" borderId="61" xfId="0" applyNumberFormat="1" applyFont="1" applyFill="1" applyBorder="1" applyAlignment="1">
      <alignment horizontal="center" vertical="center"/>
    </xf>
    <xf numFmtId="2" fontId="22" fillId="8" borderId="59" xfId="0" applyNumberFormat="1" applyFont="1" applyFill="1" applyBorder="1" applyAlignment="1">
      <alignment horizontal="center" vertical="center"/>
    </xf>
    <xf numFmtId="165" fontId="22" fillId="8" borderId="57" xfId="0" applyNumberFormat="1" applyFont="1" applyFill="1" applyBorder="1" applyAlignment="1">
      <alignment horizontal="center" vertical="center"/>
    </xf>
    <xf numFmtId="164" fontId="10" fillId="11" borderId="62" xfId="0" applyNumberFormat="1" applyFont="1" applyFill="1" applyBorder="1" applyAlignment="1">
      <alignment horizontal="center" vertical="center" wrapText="1"/>
    </xf>
    <xf numFmtId="164" fontId="10" fillId="11" borderId="57" xfId="0" applyNumberFormat="1" applyFont="1" applyFill="1" applyBorder="1" applyAlignment="1">
      <alignment horizontal="center" vertical="center" wrapText="1"/>
    </xf>
    <xf numFmtId="164" fontId="10" fillId="11" borderId="71" xfId="0" applyNumberFormat="1" applyFont="1" applyFill="1" applyBorder="1" applyAlignment="1">
      <alignment horizontal="center" vertical="center" wrapText="1"/>
    </xf>
    <xf numFmtId="10" fontId="27" fillId="0" borderId="59" xfId="0" applyNumberFormat="1" applyFont="1" applyBorder="1" applyAlignment="1">
      <alignment horizontal="center" vertical="center" wrapText="1"/>
    </xf>
    <xf numFmtId="9" fontId="27" fillId="0" borderId="33" xfId="0" applyNumberFormat="1" applyFont="1" applyBorder="1" applyAlignment="1">
      <alignment horizontal="center" vertical="center" wrapText="1"/>
    </xf>
    <xf numFmtId="0" fontId="25" fillId="16" borderId="72" xfId="0" applyFont="1" applyFill="1" applyBorder="1" applyAlignment="1">
      <alignment horizontal="center" vertical="center" wrapText="1"/>
    </xf>
    <xf numFmtId="0" fontId="26" fillId="17" borderId="16" xfId="0" applyFont="1" applyFill="1" applyBorder="1" applyAlignment="1">
      <alignment horizontal="center" vertical="center"/>
    </xf>
    <xf numFmtId="165" fontId="26" fillId="17" borderId="16" xfId="0" applyNumberFormat="1" applyFont="1" applyFill="1" applyBorder="1" applyAlignment="1">
      <alignment horizontal="center" vertical="center"/>
    </xf>
    <xf numFmtId="166" fontId="27" fillId="0" borderId="28" xfId="0" applyNumberFormat="1" applyFont="1" applyBorder="1" applyAlignment="1">
      <alignment horizontal="center" vertical="center" wrapText="1"/>
    </xf>
    <xf numFmtId="0" fontId="25" fillId="16" borderId="67" xfId="0" applyFont="1" applyFill="1" applyBorder="1" applyAlignment="1">
      <alignment horizontal="center" vertical="center" wrapText="1"/>
    </xf>
    <xf numFmtId="0" fontId="25" fillId="16" borderId="66" xfId="0" applyFont="1" applyFill="1" applyBorder="1" applyAlignment="1">
      <alignment horizontal="center" vertical="center" wrapText="1"/>
    </xf>
    <xf numFmtId="165" fontId="26" fillId="14" borderId="38" xfId="0" applyNumberFormat="1" applyFont="1" applyFill="1" applyBorder="1" applyAlignment="1">
      <alignment horizontal="center" vertical="center"/>
    </xf>
    <xf numFmtId="0" fontId="25" fillId="2" borderId="72" xfId="0" applyFont="1" applyFill="1" applyBorder="1" applyAlignment="1">
      <alignment horizontal="center" vertical="center" wrapText="1"/>
    </xf>
    <xf numFmtId="165" fontId="26" fillId="14" borderId="16" xfId="0" applyNumberFormat="1" applyFont="1" applyFill="1" applyBorder="1" applyAlignment="1">
      <alignment horizontal="center" vertical="center"/>
    </xf>
    <xf numFmtId="167" fontId="27" fillId="0" borderId="16" xfId="0" applyNumberFormat="1" applyFont="1" applyBorder="1" applyAlignment="1">
      <alignment horizontal="center" vertical="center" wrapText="1"/>
    </xf>
    <xf numFmtId="0" fontId="25" fillId="2" borderId="67" xfId="0" applyFont="1" applyFill="1" applyBorder="1" applyAlignment="1">
      <alignment horizontal="center" vertical="center" wrapText="1"/>
    </xf>
    <xf numFmtId="0" fontId="25" fillId="2" borderId="66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7" borderId="11" xfId="5" applyFont="1" applyBorder="1" applyAlignment="1">
      <alignment horizontal="center" vertical="center"/>
    </xf>
    <xf numFmtId="0" fontId="6" fillId="7" borderId="12" xfId="5" applyFont="1" applyBorder="1" applyAlignment="1">
      <alignment horizontal="center" vertical="center"/>
    </xf>
    <xf numFmtId="0" fontId="6" fillId="7" borderId="6" xfId="5" applyFont="1" applyBorder="1" applyAlignment="1">
      <alignment horizontal="center" vertical="center"/>
    </xf>
    <xf numFmtId="0" fontId="22" fillId="0" borderId="11" xfId="5" applyFont="1" applyFill="1" applyBorder="1" applyAlignment="1">
      <alignment horizontal="center"/>
    </xf>
    <xf numFmtId="0" fontId="22" fillId="0" borderId="12" xfId="5" applyFont="1" applyFill="1" applyBorder="1" applyAlignment="1">
      <alignment horizontal="center"/>
    </xf>
    <xf numFmtId="0" fontId="22" fillId="0" borderId="6" xfId="5" applyFont="1" applyFill="1" applyBorder="1" applyAlignment="1">
      <alignment horizontal="center"/>
    </xf>
    <xf numFmtId="0" fontId="7" fillId="0" borderId="11" xfId="5" applyFont="1" applyFill="1" applyBorder="1" applyAlignment="1" applyProtection="1">
      <alignment horizontal="center"/>
      <protection locked="0"/>
    </xf>
    <xf numFmtId="0" fontId="7" fillId="0" borderId="12" xfId="5" applyFont="1" applyFill="1" applyBorder="1" applyAlignment="1" applyProtection="1">
      <alignment horizontal="center"/>
      <protection locked="0"/>
    </xf>
    <xf numFmtId="0" fontId="7" fillId="0" borderId="6" xfId="5" applyFont="1" applyFill="1" applyBorder="1" applyAlignment="1" applyProtection="1">
      <alignment horizontal="center"/>
      <protection locked="0"/>
    </xf>
    <xf numFmtId="0" fontId="6" fillId="16" borderId="11" xfId="2" applyFont="1" applyFill="1" applyBorder="1" applyAlignment="1">
      <alignment horizontal="center" vertical="center"/>
    </xf>
    <xf numFmtId="0" fontId="6" fillId="16" borderId="12" xfId="2" applyFont="1" applyFill="1" applyBorder="1" applyAlignment="1">
      <alignment horizontal="center" vertical="center"/>
    </xf>
    <xf numFmtId="0" fontId="6" fillId="16" borderId="6" xfId="2" applyFont="1" applyFill="1" applyBorder="1" applyAlignment="1">
      <alignment horizontal="center" vertical="center"/>
    </xf>
    <xf numFmtId="0" fontId="6" fillId="17" borderId="11" xfId="3" applyFont="1" applyFill="1" applyBorder="1" applyAlignment="1">
      <alignment horizontal="center" vertical="center"/>
    </xf>
    <xf numFmtId="0" fontId="6" fillId="17" borderId="12" xfId="3" applyFont="1" applyFill="1" applyBorder="1" applyAlignment="1">
      <alignment horizontal="center" vertical="center"/>
    </xf>
    <xf numFmtId="0" fontId="6" fillId="17" borderId="6" xfId="3" applyFont="1" applyFill="1" applyBorder="1" applyAlignment="1">
      <alignment horizontal="center" vertical="center"/>
    </xf>
    <xf numFmtId="0" fontId="6" fillId="17" borderId="13" xfId="3" applyFont="1" applyFill="1" applyBorder="1" applyAlignment="1">
      <alignment horizontal="center" vertical="center"/>
    </xf>
    <xf numFmtId="0" fontId="6" fillId="17" borderId="15" xfId="3" applyFont="1" applyFill="1" applyBorder="1" applyAlignment="1">
      <alignment horizontal="center" vertical="center"/>
    </xf>
    <xf numFmtId="0" fontId="22" fillId="0" borderId="11" xfId="3" applyFont="1" applyFill="1" applyBorder="1" applyAlignment="1">
      <alignment horizontal="center"/>
    </xf>
    <xf numFmtId="0" fontId="22" fillId="0" borderId="12" xfId="3" applyFont="1" applyFill="1" applyBorder="1" applyAlignment="1">
      <alignment horizontal="center"/>
    </xf>
    <xf numFmtId="0" fontId="22" fillId="0" borderId="6" xfId="3" applyFont="1" applyFill="1" applyBorder="1" applyAlignment="1">
      <alignment horizontal="center"/>
    </xf>
    <xf numFmtId="0" fontId="7" fillId="0" borderId="11" xfId="3" applyFont="1" applyFill="1" applyBorder="1" applyAlignment="1" applyProtection="1">
      <alignment horizontal="center"/>
      <protection locked="0"/>
    </xf>
    <xf numFmtId="0" fontId="7" fillId="0" borderId="6" xfId="3" applyFont="1" applyFill="1" applyBorder="1" applyAlignment="1" applyProtection="1">
      <alignment horizontal="center"/>
      <protection locked="0"/>
    </xf>
    <xf numFmtId="0" fontId="25" fillId="2" borderId="1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0" fontId="11" fillId="16" borderId="13" xfId="0" applyFont="1" applyFill="1" applyBorder="1" applyAlignment="1">
      <alignment horizontal="center" vertical="center"/>
    </xf>
    <xf numFmtId="0" fontId="11" fillId="16" borderId="9" xfId="0" applyFont="1" applyFill="1" applyBorder="1" applyAlignment="1">
      <alignment horizontal="center" vertical="center"/>
    </xf>
    <xf numFmtId="0" fontId="11" fillId="16" borderId="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25" fillId="16" borderId="8" xfId="0" applyFont="1" applyFill="1" applyBorder="1" applyAlignment="1">
      <alignment horizontal="center" vertical="center"/>
    </xf>
    <xf numFmtId="0" fontId="25" fillId="16" borderId="7" xfId="0" applyFont="1" applyFill="1" applyBorder="1" applyAlignment="1">
      <alignment horizontal="center" vertical="center"/>
    </xf>
    <xf numFmtId="0" fontId="25" fillId="16" borderId="4" xfId="0" applyFont="1" applyFill="1" applyBorder="1" applyAlignment="1">
      <alignment horizontal="center" vertical="center"/>
    </xf>
    <xf numFmtId="0" fontId="25" fillId="16" borderId="11" xfId="0" applyFont="1" applyFill="1" applyBorder="1" applyAlignment="1">
      <alignment horizontal="center" vertical="center"/>
    </xf>
    <xf numFmtId="0" fontId="25" fillId="16" borderId="12" xfId="0" applyFont="1" applyFill="1" applyBorder="1" applyAlignment="1">
      <alignment horizontal="center" vertical="center"/>
    </xf>
    <xf numFmtId="0" fontId="25" fillId="16" borderId="6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2" fillId="0" borderId="11" xfId="4" applyFont="1" applyFill="1" applyBorder="1" applyAlignment="1">
      <alignment horizontal="center"/>
    </xf>
    <xf numFmtId="0" fontId="22" fillId="0" borderId="6" xfId="4" applyFont="1" applyFill="1" applyBorder="1" applyAlignment="1">
      <alignment horizontal="center"/>
    </xf>
    <xf numFmtId="0" fontId="7" fillId="0" borderId="11" xfId="4" applyFont="1" applyFill="1" applyBorder="1" applyAlignment="1" applyProtection="1">
      <alignment horizontal="center"/>
      <protection locked="0"/>
    </xf>
    <xf numFmtId="0" fontId="7" fillId="0" borderId="6" xfId="4" applyFont="1" applyFill="1" applyBorder="1" applyAlignment="1" applyProtection="1">
      <alignment horizontal="center"/>
      <protection locked="0"/>
    </xf>
    <xf numFmtId="0" fontId="6" fillId="6" borderId="13" xfId="4" applyFont="1" applyBorder="1" applyAlignment="1">
      <alignment horizontal="center"/>
    </xf>
    <xf numFmtId="0" fontId="6" fillId="6" borderId="15" xfId="4" applyFont="1" applyBorder="1" applyAlignment="1">
      <alignment horizontal="center"/>
    </xf>
    <xf numFmtId="0" fontId="6" fillId="6" borderId="14" xfId="4" applyFont="1" applyBorder="1" applyAlignment="1">
      <alignment horizontal="center"/>
    </xf>
    <xf numFmtId="0" fontId="25" fillId="16" borderId="11" xfId="0" applyFont="1" applyFill="1" applyBorder="1" applyAlignment="1">
      <alignment horizontal="center" vertical="center" wrapText="1"/>
    </xf>
    <xf numFmtId="0" fontId="25" fillId="16" borderId="12" xfId="0" applyFont="1" applyFill="1" applyBorder="1" applyAlignment="1">
      <alignment horizontal="center" vertical="center" wrapText="1"/>
    </xf>
    <xf numFmtId="0" fontId="25" fillId="16" borderId="6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6" fillId="16" borderId="14" xfId="0" applyFont="1" applyFill="1" applyBorder="1" applyAlignment="1">
      <alignment horizontal="center" vertical="center"/>
    </xf>
    <xf numFmtId="0" fontId="7" fillId="16" borderId="0" xfId="0" applyFont="1" applyFill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9" fillId="0" borderId="11" xfId="2" applyNumberFormat="1" applyFont="1" applyFill="1" applyBorder="1" applyAlignment="1" applyProtection="1">
      <alignment horizontal="center"/>
      <protection locked="0"/>
    </xf>
    <xf numFmtId="0" fontId="9" fillId="0" borderId="12" xfId="2" applyNumberFormat="1" applyFont="1" applyFill="1" applyBorder="1" applyAlignment="1" applyProtection="1">
      <alignment horizontal="center"/>
      <protection locked="0"/>
    </xf>
    <xf numFmtId="0" fontId="9" fillId="0" borderId="6" xfId="2" applyNumberFormat="1" applyFont="1" applyFill="1" applyBorder="1" applyAlignment="1" applyProtection="1">
      <alignment horizontal="center"/>
      <protection locked="0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1" fillId="4" borderId="7" xfId="2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9" fillId="0" borderId="11" xfId="0" applyFont="1" applyBorder="1" applyAlignment="1" applyProtection="1">
      <alignment horizontal="center"/>
      <protection locked="0"/>
    </xf>
    <xf numFmtId="0" fontId="9" fillId="0" borderId="12" xfId="0" applyFont="1" applyBorder="1" applyAlignment="1" applyProtection="1">
      <alignment horizontal="center"/>
      <protection locked="0"/>
    </xf>
    <xf numFmtId="0" fontId="9" fillId="0" borderId="6" xfId="0" applyFont="1" applyBorder="1" applyAlignment="1" applyProtection="1">
      <alignment horizontal="center"/>
      <protection locked="0"/>
    </xf>
    <xf numFmtId="0" fontId="6" fillId="12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7" fillId="12" borderId="10" xfId="0" applyFont="1" applyFill="1" applyBorder="1" applyAlignment="1">
      <alignment horizontal="center"/>
    </xf>
    <xf numFmtId="0" fontId="19" fillId="10" borderId="14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/>
    </xf>
    <xf numFmtId="0" fontId="7" fillId="10" borderId="10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43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11" fillId="10" borderId="43" xfId="0" applyFont="1" applyFill="1" applyBorder="1" applyAlignment="1">
      <alignment horizontal="center" vertical="center"/>
    </xf>
    <xf numFmtId="0" fontId="13" fillId="10" borderId="42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</cellXfs>
  <cellStyles count="11">
    <cellStyle name="40% - Ênfase1" xfId="3" builtinId="31"/>
    <cellStyle name="40% - Ênfase3" xfId="4" builtinId="39"/>
    <cellStyle name="40% - Ênfase5" xfId="2" builtinId="47"/>
    <cellStyle name="40% - Ênfase6" xfId="5" builtinId="51"/>
    <cellStyle name="Normal" xfId="0" builtinId="0"/>
    <cellStyle name="Normal 2" xfId="8" xr:uid="{4635EA08-B5FB-4024-8B53-DDFDC668F786}"/>
    <cellStyle name="Normal 2 3" xfId="6" xr:uid="{878AAFF0-4190-427A-A9FC-8BCCF9CDEBF9}"/>
    <cellStyle name="Normal 3" xfId="9" xr:uid="{46E87B28-B80F-413B-B5D8-6D289939DD3F}"/>
    <cellStyle name="Normal 4" xfId="7" xr:uid="{66E387DD-C3E8-40EF-9DA3-D6AD4E4B6444}"/>
    <cellStyle name="Normal 5" xfId="10" xr:uid="{C4D354A9-B98C-4F78-8982-699A58F9F861}"/>
    <cellStyle name="Texto Explicativo" xfId="1" builtinId="53"/>
  </cellStyles>
  <dxfs count="0"/>
  <tableStyles count="0" defaultTableStyle="TableStyleMedium9" defaultPivotStyle="PivotStyleLight16"/>
  <colors>
    <mruColors>
      <color rgb="FFB1A0C7"/>
      <color rgb="FF9781B5"/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6350</xdr:colOff>
      <xdr:row>2</xdr:row>
      <xdr:rowOff>12700</xdr:rowOff>
    </xdr:from>
    <xdr:ext cx="2825750" cy="4553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𝐻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1F2F9C4-2426-4EE2-9E42-56CADA934683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%</a:t>
              </a:r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𝜇〗_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𝑖=  1/(𝑎+𝑏𝐻^𝑐 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6350</xdr:colOff>
      <xdr:row>2</xdr:row>
      <xdr:rowOff>12700</xdr:rowOff>
    </xdr:from>
    <xdr:ext cx="2825750" cy="4553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𝐻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2F4D4FF-6D9A-438C-8089-B78D9010BA47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%</a:t>
              </a:r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𝜇〗_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𝑖=  1/(𝑎+𝑏𝐻^𝑐 )</a:t>
              </a:r>
              <a:endParaRPr lang="en-US" sz="1400"/>
            </a:p>
          </xdr:txBody>
        </xdr:sp>
      </mc:Fallback>
    </mc:AlternateContent>
    <xdr:clientData/>
  </xdr:oneCellAnchor>
  <xdr:twoCellAnchor editAs="oneCell">
    <xdr:from>
      <xdr:col>1</xdr:col>
      <xdr:colOff>74704</xdr:colOff>
      <xdr:row>1</xdr:row>
      <xdr:rowOff>3614</xdr:rowOff>
    </xdr:from>
    <xdr:to>
      <xdr:col>2</xdr:col>
      <xdr:colOff>484909</xdr:colOff>
      <xdr:row>5</xdr:row>
      <xdr:rowOff>209867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304" y="194114"/>
          <a:ext cx="1985005" cy="1238128"/>
        </a:xfrm>
        <a:prstGeom prst="rect">
          <a:avLst/>
        </a:prstGeom>
      </xdr:spPr>
    </xdr:pic>
    <xdr:clientData/>
  </xdr:twoCellAnchor>
  <xdr:oneCellAnchor>
    <xdr:from>
      <xdr:col>19</xdr:col>
      <xdr:colOff>334565</xdr:colOff>
      <xdr:row>1</xdr:row>
      <xdr:rowOff>319774</xdr:rowOff>
    </xdr:from>
    <xdr:ext cx="2082403" cy="5226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12272565" y="510274"/>
              <a:ext cx="2082403" cy="522684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𝑏𝐻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  <m:sSup>
                                  <m:sSup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𝐻</m:t>
                                    </m:r>
                                  </m:e>
                                  <m:sup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𝑑𝐻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  <m:sSup>
                                  <m:sSup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𝐻</m:t>
                                    </m:r>
                                  </m:e>
                                  <m:sup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5F21604-BAC4-4597-BD04-8E3C6EB9F598}"/>
                </a:ext>
              </a:extLst>
            </xdr:cNvPr>
            <xdr:cNvSpPr txBox="1"/>
          </xdr:nvSpPr>
          <xdr:spPr>
            <a:xfrm>
              <a:off x="12272565" y="510274"/>
              <a:ext cx="2082403" cy="522684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𝐵=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[(𝑎+𝑏𝐻+𝑐𝐻^2)/(1+𝑑𝐻+𝑒𝐻^2 )]^</a:t>
              </a:r>
              <a:r>
                <a:rPr lang="en-US" sz="1400" b="0" i="0">
                  <a:latin typeface="Cambria Math" panose="02040503050406030204" pitchFamily="18" charset="0"/>
                </a:rPr>
                <a:t>𝑥</a:t>
              </a:r>
              <a:endParaRPr lang="en-US" sz="1400"/>
            </a:p>
          </xdr:txBody>
        </xdr:sp>
      </mc:Fallback>
    </mc:AlternateContent>
    <xdr:clientData/>
  </xdr:oneCellAnchor>
  <xdr:twoCellAnchor editAs="oneCell">
    <xdr:from>
      <xdr:col>16</xdr:col>
      <xdr:colOff>110565</xdr:colOff>
      <xdr:row>0</xdr:row>
      <xdr:rowOff>125505</xdr:rowOff>
    </xdr:from>
    <xdr:to>
      <xdr:col>17</xdr:col>
      <xdr:colOff>762000</xdr:colOff>
      <xdr:row>6</xdr:row>
      <xdr:rowOff>37233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1465" y="125505"/>
          <a:ext cx="2226235" cy="1337303"/>
        </a:xfrm>
        <a:prstGeom prst="rect">
          <a:avLst/>
        </a:prstGeom>
      </xdr:spPr>
    </xdr:pic>
    <xdr:clientData/>
  </xdr:twoCellAnchor>
  <xdr:oneCellAnchor>
    <xdr:from>
      <xdr:col>11</xdr:col>
      <xdr:colOff>47628</xdr:colOff>
      <xdr:row>1</xdr:row>
      <xdr:rowOff>433917</xdr:rowOff>
    </xdr:from>
    <xdr:ext cx="1726404" cy="5119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067053" y="633942"/>
              <a:ext cx="1726404" cy="5119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sSup>
                      <m:sSupPr>
                        <m:ctrlP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sup>
                    </m:sSup>
                    <m:sSup>
                      <m:sSupPr>
                        <m:ctrlP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sup>
                    </m:sSup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130B0A0-FAFC-42C9-85C7-EE081D5F3147}"/>
                </a:ext>
              </a:extLst>
            </xdr:cNvPr>
            <xdr:cNvSpPr txBox="1"/>
          </xdr:nvSpPr>
          <xdr:spPr>
            <a:xfrm>
              <a:off x="3067053" y="633942"/>
              <a:ext cx="1726404" cy="5119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𝑃_𝐿=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𝑎𝐵^𝑏 𝑓^𝑐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29</xdr:col>
      <xdr:colOff>9072</xdr:colOff>
      <xdr:row>1</xdr:row>
      <xdr:rowOff>501197</xdr:rowOff>
    </xdr:from>
    <xdr:ext cx="2812143" cy="469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14B1E11-5FAD-4103-A4C4-2AEB5F85F5CF}"/>
                </a:ext>
              </a:extLst>
            </xdr:cNvPr>
            <xdr:cNvSpPr txBox="1"/>
          </xdr:nvSpPr>
          <xdr:spPr>
            <a:xfrm>
              <a:off x="3596822" y="691697"/>
              <a:ext cx="2812143" cy="469446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𝑏𝑓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𝑐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𝑑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𝑒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14B1E11-5FAD-4103-A4C4-2AEB5F85F5CF}"/>
                </a:ext>
              </a:extLst>
            </xdr:cNvPr>
            <xdr:cNvSpPr txBox="1"/>
          </xdr:nvSpPr>
          <xdr:spPr>
            <a:xfrm>
              <a:off x="3596822" y="691697"/>
              <a:ext cx="2812143" cy="469446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∆𝜇/𝜇_</a:t>
              </a:r>
              <a:r>
                <a:rPr lang="en-US" sz="1400" b="0" i="0">
                  <a:latin typeface="Cambria Math" panose="02040503050406030204" pitchFamily="18" charset="0"/>
                </a:rPr>
                <a:t>𝑖 =𝑎+𝑏𝑓+𝑐𝑓^2+𝑑𝑓^3+𝑒𝑓^4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39</xdr:col>
      <xdr:colOff>4530</xdr:colOff>
      <xdr:row>1</xdr:row>
      <xdr:rowOff>437202</xdr:rowOff>
    </xdr:from>
    <xdr:ext cx="2809878" cy="505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0BF1C77-CE6D-4CB5-A33C-6E8B64939A3F}"/>
                </a:ext>
              </a:extLst>
            </xdr:cNvPr>
            <xdr:cNvSpPr txBox="1"/>
          </xdr:nvSpPr>
          <xdr:spPr>
            <a:xfrm>
              <a:off x="12856930" y="627702"/>
              <a:ext cx="2809878" cy="505731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𝑏𝑇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𝑐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𝑑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𝑒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0BF1C77-CE6D-4CB5-A33C-6E8B64939A3F}"/>
                </a:ext>
              </a:extLst>
            </xdr:cNvPr>
            <xdr:cNvSpPr txBox="1"/>
          </xdr:nvSpPr>
          <xdr:spPr>
            <a:xfrm>
              <a:off x="12856930" y="627702"/>
              <a:ext cx="2809878" cy="505731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∆𝜇/𝜇_</a:t>
              </a:r>
              <a:r>
                <a:rPr lang="en-US" sz="1400" b="0" i="0">
                  <a:latin typeface="Cambria Math" panose="02040503050406030204" pitchFamily="18" charset="0"/>
                </a:rPr>
                <a:t>𝑖 =𝑎+𝑏𝑇+𝑐𝑇^2+𝑑𝑇^3+𝑒𝑇^4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6350</xdr:colOff>
      <xdr:row>2</xdr:row>
      <xdr:rowOff>12700</xdr:rowOff>
    </xdr:from>
    <xdr:ext cx="2825750" cy="4553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E514EC3-DFA7-46AE-B0A4-E1801E2EC6F1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𝐻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E514EC3-DFA7-46AE-B0A4-E1801E2EC6F1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%</a:t>
              </a:r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𝜇〗_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𝑖=  1/(𝑎+𝑏𝐻^𝑐 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6350</xdr:colOff>
      <xdr:row>2</xdr:row>
      <xdr:rowOff>12700</xdr:rowOff>
    </xdr:from>
    <xdr:ext cx="2825750" cy="4553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B4430A9-35B7-4CCF-BD76-C08F96E26CAE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𝐻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B4430A9-35B7-4CCF-BD76-C08F96E26CAE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%</a:t>
              </a:r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𝜇〗_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𝑖=  1/(𝑎+𝑏𝐻^𝑐 )</a:t>
              </a:r>
              <a:endParaRPr lang="en-US" sz="1400"/>
            </a:p>
          </xdr:txBody>
        </xdr:sp>
      </mc:Fallback>
    </mc:AlternateContent>
    <xdr:clientData/>
  </xdr:oneCellAnchor>
  <xdr:twoCellAnchor editAs="oneCell">
    <xdr:from>
      <xdr:col>1</xdr:col>
      <xdr:colOff>74704</xdr:colOff>
      <xdr:row>1</xdr:row>
      <xdr:rowOff>3614</xdr:rowOff>
    </xdr:from>
    <xdr:to>
      <xdr:col>2</xdr:col>
      <xdr:colOff>484909</xdr:colOff>
      <xdr:row>5</xdr:row>
      <xdr:rowOff>200342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E5D6056-70BD-4FAC-B519-5B6540243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304" y="194114"/>
          <a:ext cx="1985005" cy="1238128"/>
        </a:xfrm>
        <a:prstGeom prst="rect">
          <a:avLst/>
        </a:prstGeom>
      </xdr:spPr>
    </xdr:pic>
    <xdr:clientData/>
  </xdr:twoCellAnchor>
  <xdr:oneCellAnchor>
    <xdr:from>
      <xdr:col>19</xdr:col>
      <xdr:colOff>334565</xdr:colOff>
      <xdr:row>1</xdr:row>
      <xdr:rowOff>319774</xdr:rowOff>
    </xdr:from>
    <xdr:ext cx="2082403" cy="5226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2503BD7-685E-4B47-922E-383E418F4EC9}"/>
                </a:ext>
              </a:extLst>
            </xdr:cNvPr>
            <xdr:cNvSpPr txBox="1"/>
          </xdr:nvSpPr>
          <xdr:spPr>
            <a:xfrm>
              <a:off x="12272565" y="510274"/>
              <a:ext cx="2082403" cy="522684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𝑏𝐻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  <m:sSup>
                                  <m:sSup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𝐻</m:t>
                                    </m:r>
                                  </m:e>
                                  <m:sup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𝑑𝐻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  <m:sSup>
                                  <m:sSup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𝐻</m:t>
                                    </m:r>
                                  </m:e>
                                  <m:sup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2503BD7-685E-4B47-922E-383E418F4EC9}"/>
                </a:ext>
              </a:extLst>
            </xdr:cNvPr>
            <xdr:cNvSpPr txBox="1"/>
          </xdr:nvSpPr>
          <xdr:spPr>
            <a:xfrm>
              <a:off x="12272565" y="510274"/>
              <a:ext cx="2082403" cy="522684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𝐵=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[(𝑎+𝑏𝐻+𝑐𝐻^2)/(1+𝑑𝐻+𝑒𝐻^2 )]^</a:t>
              </a:r>
              <a:r>
                <a:rPr lang="en-US" sz="1400" b="0" i="0">
                  <a:latin typeface="Cambria Math" panose="02040503050406030204" pitchFamily="18" charset="0"/>
                </a:rPr>
                <a:t>𝑥</a:t>
              </a:r>
              <a:endParaRPr lang="en-US" sz="1400"/>
            </a:p>
          </xdr:txBody>
        </xdr:sp>
      </mc:Fallback>
    </mc:AlternateContent>
    <xdr:clientData/>
  </xdr:oneCellAnchor>
  <xdr:twoCellAnchor editAs="oneCell">
    <xdr:from>
      <xdr:col>16</xdr:col>
      <xdr:colOff>110565</xdr:colOff>
      <xdr:row>0</xdr:row>
      <xdr:rowOff>125505</xdr:rowOff>
    </xdr:from>
    <xdr:to>
      <xdr:col>17</xdr:col>
      <xdr:colOff>762000</xdr:colOff>
      <xdr:row>6</xdr:row>
      <xdr:rowOff>37233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02A6FD9-4D44-420A-8C56-AC435AC8B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1465" y="125505"/>
          <a:ext cx="2226235" cy="1337303"/>
        </a:xfrm>
        <a:prstGeom prst="rect">
          <a:avLst/>
        </a:prstGeom>
      </xdr:spPr>
    </xdr:pic>
    <xdr:clientData/>
  </xdr:twoCellAnchor>
  <xdr:oneCellAnchor>
    <xdr:from>
      <xdr:col>11</xdr:col>
      <xdr:colOff>47628</xdr:colOff>
      <xdr:row>1</xdr:row>
      <xdr:rowOff>433917</xdr:rowOff>
    </xdr:from>
    <xdr:ext cx="1726404" cy="5119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F6D06E0-050A-49E8-842E-781D367B05F7}"/>
                </a:ext>
              </a:extLst>
            </xdr:cNvPr>
            <xdr:cNvSpPr txBox="1"/>
          </xdr:nvSpPr>
          <xdr:spPr>
            <a:xfrm>
              <a:off x="3178178" y="624417"/>
              <a:ext cx="1726404" cy="5119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sSup>
                      <m:sSupPr>
                        <m:ctrlP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sup>
                    </m:sSup>
                    <m:sSup>
                      <m:sSupPr>
                        <m:ctrlP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sup>
                    </m:sSup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F6D06E0-050A-49E8-842E-781D367B05F7}"/>
                </a:ext>
              </a:extLst>
            </xdr:cNvPr>
            <xdr:cNvSpPr txBox="1"/>
          </xdr:nvSpPr>
          <xdr:spPr>
            <a:xfrm>
              <a:off x="3178178" y="624417"/>
              <a:ext cx="1726404" cy="5119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𝑃_𝐿=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𝑎𝐵^𝑏 𝑓^𝑐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3</xdr:col>
      <xdr:colOff>6350</xdr:colOff>
      <xdr:row>2</xdr:row>
      <xdr:rowOff>12700</xdr:rowOff>
    </xdr:from>
    <xdr:ext cx="2825750" cy="4553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6DCC620-8114-4273-99AD-231298F9B629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𝐻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6DCC620-8114-4273-99AD-231298F9B629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%</a:t>
              </a:r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𝜇〗_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𝑖=  1/(𝑎+𝑏𝐻^𝑐 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6350</xdr:colOff>
      <xdr:row>2</xdr:row>
      <xdr:rowOff>12700</xdr:rowOff>
    </xdr:from>
    <xdr:ext cx="2825750" cy="4553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E8F5F549-F1CC-4A9A-8A31-290B348E042C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𝐻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E8F5F549-F1CC-4A9A-8A31-290B348E042C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%</a:t>
              </a:r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𝜇〗_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𝑖=  1/(𝑎+𝑏𝐻^𝑐 )</a:t>
              </a:r>
              <a:endParaRPr lang="en-US" sz="1400"/>
            </a:p>
          </xdr:txBody>
        </xdr:sp>
      </mc:Fallback>
    </mc:AlternateContent>
    <xdr:clientData/>
  </xdr:oneCellAnchor>
  <xdr:twoCellAnchor editAs="oneCell">
    <xdr:from>
      <xdr:col>1</xdr:col>
      <xdr:colOff>74704</xdr:colOff>
      <xdr:row>1</xdr:row>
      <xdr:rowOff>3614</xdr:rowOff>
    </xdr:from>
    <xdr:to>
      <xdr:col>2</xdr:col>
      <xdr:colOff>484909</xdr:colOff>
      <xdr:row>5</xdr:row>
      <xdr:rowOff>200342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C62E033-839D-4B24-98E8-C9A50395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304" y="194114"/>
          <a:ext cx="1985005" cy="1238128"/>
        </a:xfrm>
        <a:prstGeom prst="rect">
          <a:avLst/>
        </a:prstGeom>
      </xdr:spPr>
    </xdr:pic>
    <xdr:clientData/>
  </xdr:twoCellAnchor>
  <xdr:oneCellAnchor>
    <xdr:from>
      <xdr:col>19</xdr:col>
      <xdr:colOff>334565</xdr:colOff>
      <xdr:row>1</xdr:row>
      <xdr:rowOff>319774</xdr:rowOff>
    </xdr:from>
    <xdr:ext cx="2082403" cy="5226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42E4487-A820-4B42-B4AF-34B05DEE2CC9}"/>
                </a:ext>
              </a:extLst>
            </xdr:cNvPr>
            <xdr:cNvSpPr txBox="1"/>
          </xdr:nvSpPr>
          <xdr:spPr>
            <a:xfrm>
              <a:off x="12272565" y="510274"/>
              <a:ext cx="2082403" cy="522684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𝑏𝐻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  <m:sSup>
                                  <m:sSup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𝐻</m:t>
                                    </m:r>
                                  </m:e>
                                  <m:sup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𝑑𝐻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  <m:sSup>
                                  <m:sSup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𝐻</m:t>
                                    </m:r>
                                  </m:e>
                                  <m:sup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42E4487-A820-4B42-B4AF-34B05DEE2CC9}"/>
                </a:ext>
              </a:extLst>
            </xdr:cNvPr>
            <xdr:cNvSpPr txBox="1"/>
          </xdr:nvSpPr>
          <xdr:spPr>
            <a:xfrm>
              <a:off x="12272565" y="510274"/>
              <a:ext cx="2082403" cy="522684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𝐵=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[(𝑎+𝑏𝐻+𝑐𝐻^2)/(1+𝑑𝐻+𝑒𝐻^2 )]^</a:t>
              </a:r>
              <a:r>
                <a:rPr lang="en-US" sz="1400" b="0" i="0">
                  <a:latin typeface="Cambria Math" panose="02040503050406030204" pitchFamily="18" charset="0"/>
                </a:rPr>
                <a:t>𝑥</a:t>
              </a:r>
              <a:endParaRPr lang="en-US" sz="1400"/>
            </a:p>
          </xdr:txBody>
        </xdr:sp>
      </mc:Fallback>
    </mc:AlternateContent>
    <xdr:clientData/>
  </xdr:oneCellAnchor>
  <xdr:twoCellAnchor editAs="oneCell">
    <xdr:from>
      <xdr:col>16</xdr:col>
      <xdr:colOff>110565</xdr:colOff>
      <xdr:row>0</xdr:row>
      <xdr:rowOff>125505</xdr:rowOff>
    </xdr:from>
    <xdr:to>
      <xdr:col>17</xdr:col>
      <xdr:colOff>762000</xdr:colOff>
      <xdr:row>6</xdr:row>
      <xdr:rowOff>37233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85B82B1-4241-4751-800A-18B4A8AF0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1465" y="125505"/>
          <a:ext cx="2226235" cy="1337303"/>
        </a:xfrm>
        <a:prstGeom prst="rect">
          <a:avLst/>
        </a:prstGeom>
      </xdr:spPr>
    </xdr:pic>
    <xdr:clientData/>
  </xdr:twoCellAnchor>
  <xdr:oneCellAnchor>
    <xdr:from>
      <xdr:col>11</xdr:col>
      <xdr:colOff>47628</xdr:colOff>
      <xdr:row>1</xdr:row>
      <xdr:rowOff>433917</xdr:rowOff>
    </xdr:from>
    <xdr:ext cx="1726404" cy="5119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FFAEC96D-173A-48CC-A1F5-0BBF878D53EF}"/>
                </a:ext>
              </a:extLst>
            </xdr:cNvPr>
            <xdr:cNvSpPr txBox="1"/>
          </xdr:nvSpPr>
          <xdr:spPr>
            <a:xfrm>
              <a:off x="3178178" y="624417"/>
              <a:ext cx="1726404" cy="5119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sSup>
                      <m:sSupPr>
                        <m:ctrlP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sup>
                    </m:sSup>
                    <m:sSup>
                      <m:sSupPr>
                        <m:ctrlP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sup>
                    </m:sSup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FFAEC96D-173A-48CC-A1F5-0BBF878D53EF}"/>
                </a:ext>
              </a:extLst>
            </xdr:cNvPr>
            <xdr:cNvSpPr txBox="1"/>
          </xdr:nvSpPr>
          <xdr:spPr>
            <a:xfrm>
              <a:off x="3178178" y="624417"/>
              <a:ext cx="1726404" cy="5119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𝑃_𝐿=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𝑎𝐵^𝑏 𝑓^𝑐</a:t>
              </a:r>
              <a:endParaRPr lang="en-US" sz="1600"/>
            </a:p>
          </xdr:txBody>
        </xdr:sp>
      </mc:Fallback>
    </mc:AlternateContent>
    <xdr:clientData/>
  </xdr:oneCellAnchor>
  <xdr:twoCellAnchor editAs="oneCell">
    <xdr:from>
      <xdr:col>9</xdr:col>
      <xdr:colOff>26637</xdr:colOff>
      <xdr:row>0</xdr:row>
      <xdr:rowOff>106083</xdr:rowOff>
    </xdr:from>
    <xdr:to>
      <xdr:col>10</xdr:col>
      <xdr:colOff>305290</xdr:colOff>
      <xdr:row>5</xdr:row>
      <xdr:rowOff>66171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ABF93C2-8B13-438B-84C7-CD3E4514F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4073" y="106083"/>
          <a:ext cx="1850766" cy="1153644"/>
        </a:xfrm>
        <a:prstGeom prst="rect">
          <a:avLst/>
        </a:prstGeom>
      </xdr:spPr>
    </xdr:pic>
    <xdr:clientData/>
  </xdr:twoCellAnchor>
  <xdr:oneCellAnchor>
    <xdr:from>
      <xdr:col>29</xdr:col>
      <xdr:colOff>9072</xdr:colOff>
      <xdr:row>1</xdr:row>
      <xdr:rowOff>501197</xdr:rowOff>
    </xdr:from>
    <xdr:ext cx="2812143" cy="469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5F17692-1D95-4A0F-93A8-6CF4D9A8BBC9}"/>
                </a:ext>
              </a:extLst>
            </xdr:cNvPr>
            <xdr:cNvSpPr txBox="1"/>
          </xdr:nvSpPr>
          <xdr:spPr>
            <a:xfrm>
              <a:off x="3596822" y="691697"/>
              <a:ext cx="2812143" cy="469446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𝑏𝑓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𝑐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𝑑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𝑒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5F17692-1D95-4A0F-93A8-6CF4D9A8BBC9}"/>
                </a:ext>
              </a:extLst>
            </xdr:cNvPr>
            <xdr:cNvSpPr txBox="1"/>
          </xdr:nvSpPr>
          <xdr:spPr>
            <a:xfrm>
              <a:off x="3596822" y="691697"/>
              <a:ext cx="2812143" cy="469446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∆𝜇/𝜇_</a:t>
              </a:r>
              <a:r>
                <a:rPr lang="en-US" sz="1400" b="0" i="0">
                  <a:latin typeface="Cambria Math" panose="02040503050406030204" pitchFamily="18" charset="0"/>
                </a:rPr>
                <a:t>𝑖 =𝑎+𝑏𝑓+𝑐𝑓^2+𝑑𝑓^3+𝑒𝑓^4</a:t>
              </a:r>
              <a:endParaRPr lang="en-US" sz="1400"/>
            </a:p>
          </xdr:txBody>
        </xdr:sp>
      </mc:Fallback>
    </mc:AlternateContent>
    <xdr:clientData/>
  </xdr:oneCellAnchor>
  <xdr:twoCellAnchor editAs="oneCell">
    <xdr:from>
      <xdr:col>26</xdr:col>
      <xdr:colOff>47811</xdr:colOff>
      <xdr:row>0</xdr:row>
      <xdr:rowOff>100107</xdr:rowOff>
    </xdr:from>
    <xdr:to>
      <xdr:col>28</xdr:col>
      <xdr:colOff>458643</xdr:colOff>
      <xdr:row>6</xdr:row>
      <xdr:rowOff>199533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AB10DD-DAF4-40D5-BFD3-565A60538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411" y="100107"/>
          <a:ext cx="2446007" cy="1528176"/>
        </a:xfrm>
        <a:prstGeom prst="rect">
          <a:avLst/>
        </a:prstGeom>
      </xdr:spPr>
    </xdr:pic>
    <xdr:clientData/>
  </xdr:twoCellAnchor>
  <xdr:oneCellAnchor>
    <xdr:from>
      <xdr:col>39</xdr:col>
      <xdr:colOff>4530</xdr:colOff>
      <xdr:row>1</xdr:row>
      <xdr:rowOff>437202</xdr:rowOff>
    </xdr:from>
    <xdr:ext cx="2809878" cy="505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DCF713F-2FC1-4B51-AA82-08A03DC0013A}"/>
                </a:ext>
              </a:extLst>
            </xdr:cNvPr>
            <xdr:cNvSpPr txBox="1"/>
          </xdr:nvSpPr>
          <xdr:spPr>
            <a:xfrm>
              <a:off x="12425130" y="627702"/>
              <a:ext cx="2809878" cy="505731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sSub>
                          <m:sSubPr>
                            <m:ctrlPr>
                              <a:rPr lang="en-US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𝑏𝑇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𝑐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𝑑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𝑒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DCF713F-2FC1-4B51-AA82-08A03DC0013A}"/>
                </a:ext>
              </a:extLst>
            </xdr:cNvPr>
            <xdr:cNvSpPr txBox="1"/>
          </xdr:nvSpPr>
          <xdr:spPr>
            <a:xfrm>
              <a:off x="12425130" y="627702"/>
              <a:ext cx="2809878" cy="505731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∆𝜇/𝜇_</a:t>
              </a:r>
              <a:r>
                <a:rPr lang="en-US" sz="1400" b="0" i="0">
                  <a:latin typeface="Cambria Math" panose="02040503050406030204" pitchFamily="18" charset="0"/>
                </a:rPr>
                <a:t>𝑖 =𝑎+𝑏𝑇+𝑐𝑇^2+𝑑𝑇^3+𝑒𝑇^4</a:t>
              </a:r>
              <a:endParaRPr lang="en-US" sz="1400"/>
            </a:p>
          </xdr:txBody>
        </xdr:sp>
      </mc:Fallback>
    </mc:AlternateContent>
    <xdr:clientData/>
  </xdr:oneCellAnchor>
  <xdr:twoCellAnchor editAs="oneCell">
    <xdr:from>
      <xdr:col>36</xdr:col>
      <xdr:colOff>82177</xdr:colOff>
      <xdr:row>0</xdr:row>
      <xdr:rowOff>112059</xdr:rowOff>
    </xdr:from>
    <xdr:to>
      <xdr:col>38</xdr:col>
      <xdr:colOff>475114</xdr:colOff>
      <xdr:row>6</xdr:row>
      <xdr:rowOff>200314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68D9F2-A918-4DC4-8AC5-CFEEF0126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627" y="112059"/>
          <a:ext cx="2428112" cy="1517005"/>
        </a:xfrm>
        <a:prstGeom prst="rect">
          <a:avLst/>
        </a:prstGeom>
      </xdr:spPr>
    </xdr:pic>
    <xdr:clientData/>
  </xdr:twoCellAnchor>
  <xdr:oneCellAnchor>
    <xdr:from>
      <xdr:col>3</xdr:col>
      <xdr:colOff>6350</xdr:colOff>
      <xdr:row>2</xdr:row>
      <xdr:rowOff>12700</xdr:rowOff>
    </xdr:from>
    <xdr:ext cx="2825750" cy="4553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76E5EE4-27DE-4F21-B722-9C175955D386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𝐻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76E5EE4-27DE-4F21-B722-9C175955D386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%</a:t>
              </a:r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𝜇〗_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𝑖=  1/(𝑎+𝑏𝐻^𝑐 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6350</xdr:colOff>
      <xdr:row>2</xdr:row>
      <xdr:rowOff>12700</xdr:rowOff>
    </xdr:from>
    <xdr:ext cx="2825750" cy="4553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A95EE60-B2AE-41E8-B4C5-0AD1523514E5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  <m:r>
                          <a:rPr lang="en-US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  <m:sSup>
                          <m:sSup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𝐻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A95EE60-B2AE-41E8-B4C5-0AD1523514E5}"/>
                </a:ext>
              </a:extLst>
            </xdr:cNvPr>
            <xdr:cNvSpPr txBox="1"/>
          </xdr:nvSpPr>
          <xdr:spPr>
            <a:xfrm>
              <a:off x="3136900" y="533400"/>
              <a:ext cx="2825750" cy="455386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%</a:t>
              </a:r>
              <a:r>
                <a:rPr 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𝜇〗_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𝑖=  1/(𝑎+𝑏𝐻^𝑐 )</a:t>
              </a:r>
              <a:endParaRPr lang="en-US" sz="1400"/>
            </a:p>
          </xdr:txBody>
        </xdr:sp>
      </mc:Fallback>
    </mc:AlternateContent>
    <xdr:clientData/>
  </xdr:oneCellAnchor>
  <xdr:twoCellAnchor editAs="oneCell">
    <xdr:from>
      <xdr:col>1</xdr:col>
      <xdr:colOff>74704</xdr:colOff>
      <xdr:row>1</xdr:row>
      <xdr:rowOff>3614</xdr:rowOff>
    </xdr:from>
    <xdr:to>
      <xdr:col>2</xdr:col>
      <xdr:colOff>484909</xdr:colOff>
      <xdr:row>5</xdr:row>
      <xdr:rowOff>200342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8E28AA-D923-41CF-8CD7-480CAA668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304" y="194114"/>
          <a:ext cx="1985005" cy="1238128"/>
        </a:xfrm>
        <a:prstGeom prst="rect">
          <a:avLst/>
        </a:prstGeom>
      </xdr:spPr>
    </xdr:pic>
    <xdr:clientData/>
  </xdr:twoCellAnchor>
  <xdr:oneCellAnchor>
    <xdr:from>
      <xdr:col>19</xdr:col>
      <xdr:colOff>334565</xdr:colOff>
      <xdr:row>1</xdr:row>
      <xdr:rowOff>319774</xdr:rowOff>
    </xdr:from>
    <xdr:ext cx="2082403" cy="5226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B17DE60-33FD-4E4E-9A1C-817661906FFE}"/>
                </a:ext>
              </a:extLst>
            </xdr:cNvPr>
            <xdr:cNvSpPr txBox="1"/>
          </xdr:nvSpPr>
          <xdr:spPr>
            <a:xfrm>
              <a:off x="12272565" y="510274"/>
              <a:ext cx="2082403" cy="522684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𝑏𝐻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  <m:sSup>
                                  <m:sSup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𝐻</m:t>
                                    </m:r>
                                  </m:e>
                                  <m:sup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𝑑𝐻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  <m:sSup>
                                  <m:sSupPr>
                                    <m:ctrlP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𝐻</m:t>
                                    </m:r>
                                  </m:e>
                                  <m:sup>
                                    <m:r>
                                      <a:rPr lang="en-U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B17DE60-33FD-4E4E-9A1C-817661906FFE}"/>
                </a:ext>
              </a:extLst>
            </xdr:cNvPr>
            <xdr:cNvSpPr txBox="1"/>
          </xdr:nvSpPr>
          <xdr:spPr>
            <a:xfrm>
              <a:off x="12272565" y="510274"/>
              <a:ext cx="2082403" cy="522684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𝐵=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[(𝑎+𝑏𝐻+𝑐𝐻^2)/(1+𝑑𝐻+𝑒𝐻^2 )]^</a:t>
              </a:r>
              <a:r>
                <a:rPr lang="en-US" sz="1400" b="0" i="0">
                  <a:latin typeface="Cambria Math" panose="02040503050406030204" pitchFamily="18" charset="0"/>
                </a:rPr>
                <a:t>𝑥</a:t>
              </a:r>
              <a:endParaRPr lang="en-US" sz="1400"/>
            </a:p>
          </xdr:txBody>
        </xdr:sp>
      </mc:Fallback>
    </mc:AlternateContent>
    <xdr:clientData/>
  </xdr:oneCellAnchor>
  <xdr:twoCellAnchor editAs="oneCell">
    <xdr:from>
      <xdr:col>16</xdr:col>
      <xdr:colOff>110565</xdr:colOff>
      <xdr:row>0</xdr:row>
      <xdr:rowOff>125505</xdr:rowOff>
    </xdr:from>
    <xdr:to>
      <xdr:col>17</xdr:col>
      <xdr:colOff>762000</xdr:colOff>
      <xdr:row>6</xdr:row>
      <xdr:rowOff>37233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5207017-7149-49CA-ACF6-63478563C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1465" y="125505"/>
          <a:ext cx="2226235" cy="1337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255"/>
  <sheetViews>
    <sheetView showGridLines="0" tabSelected="1" topLeftCell="A61" zoomScale="70" zoomScaleNormal="70" zoomScaleSheetLayoutView="75" workbookViewId="0">
      <selection activeCell="M64" sqref="M64:N64"/>
    </sheetView>
  </sheetViews>
  <sheetFormatPr defaultColWidth="8.7109375" defaultRowHeight="15" x14ac:dyDescent="0.25"/>
  <cols>
    <col min="1" max="1" width="2.42578125" customWidth="1"/>
    <col min="2" max="2" width="22.5703125" customWidth="1"/>
    <col min="3" max="8" width="13.5703125" customWidth="1"/>
    <col min="9" max="9" width="2.5703125" customWidth="1"/>
    <col min="10" max="10" width="22.5703125" customWidth="1"/>
    <col min="11" max="15" width="13.5703125" customWidth="1"/>
    <col min="16" max="16" width="2.5703125" customWidth="1"/>
    <col min="17" max="17" width="22.5703125" customWidth="1"/>
    <col min="18" max="18" width="13.5703125" customWidth="1"/>
    <col min="19" max="25" width="13.5703125" style="63" customWidth="1"/>
    <col min="26" max="26" width="2.5703125" customWidth="1"/>
    <col min="27" max="27" width="15.5703125" customWidth="1"/>
    <col min="28" max="35" width="13.5703125" customWidth="1"/>
    <col min="36" max="36" width="2.5703125" customWidth="1"/>
    <col min="37" max="37" width="15.5703125" customWidth="1"/>
    <col min="38" max="45" width="13.5703125" customWidth="1"/>
  </cols>
  <sheetData>
    <row r="1" spans="2:45" ht="12" customHeight="1" thickBot="1" x14ac:dyDescent="0.3"/>
    <row r="2" spans="2:45" ht="26.25" x14ac:dyDescent="0.35">
      <c r="B2" s="461"/>
      <c r="C2" s="462"/>
      <c r="D2" s="741" t="s">
        <v>36</v>
      </c>
      <c r="E2" s="741"/>
      <c r="F2" s="741"/>
      <c r="G2" s="462"/>
      <c r="H2" s="463"/>
      <c r="J2" s="39"/>
      <c r="K2" s="752" t="s">
        <v>37</v>
      </c>
      <c r="L2" s="752"/>
      <c r="M2" s="752"/>
      <c r="N2" s="752"/>
      <c r="O2" s="40"/>
      <c r="Q2" s="41"/>
      <c r="R2" s="42"/>
      <c r="S2" s="64"/>
      <c r="T2" s="751" t="s">
        <v>39</v>
      </c>
      <c r="U2" s="751"/>
      <c r="V2" s="751"/>
      <c r="W2" s="65"/>
      <c r="X2" s="64"/>
      <c r="Y2" s="66"/>
      <c r="AA2" s="44"/>
      <c r="AB2" s="477"/>
      <c r="AC2" s="478"/>
      <c r="AD2" s="782" t="s">
        <v>40</v>
      </c>
      <c r="AE2" s="782"/>
      <c r="AF2" s="782"/>
      <c r="AG2" s="478"/>
      <c r="AH2" s="477"/>
      <c r="AI2" s="479"/>
      <c r="AK2" s="524"/>
      <c r="AL2" s="525"/>
      <c r="AM2" s="785" t="s">
        <v>41</v>
      </c>
      <c r="AN2" s="785"/>
      <c r="AO2" s="785"/>
      <c r="AP2" s="785"/>
      <c r="AQ2" s="785"/>
      <c r="AR2" s="525"/>
      <c r="AS2" s="526"/>
    </row>
    <row r="3" spans="2:45" s="29" customFormat="1" ht="18.75" x14ac:dyDescent="0.3">
      <c r="B3" s="464"/>
      <c r="C3" s="465"/>
      <c r="D3" s="742"/>
      <c r="E3" s="742"/>
      <c r="F3" s="742"/>
      <c r="G3" s="465"/>
      <c r="H3" s="415"/>
      <c r="I3"/>
      <c r="J3" s="6"/>
      <c r="K3" s="520"/>
      <c r="L3" s="520"/>
      <c r="M3" s="520"/>
      <c r="N3" s="520"/>
      <c r="O3" s="33"/>
      <c r="P3"/>
      <c r="Q3" s="23"/>
      <c r="R3" s="473"/>
      <c r="S3" s="474"/>
      <c r="T3" s="474"/>
      <c r="U3" s="474"/>
      <c r="V3" s="474"/>
      <c r="W3" s="474"/>
      <c r="X3" s="474"/>
      <c r="Y3" s="67"/>
      <c r="AA3" s="45"/>
      <c r="AB3" s="480"/>
      <c r="AC3" s="480"/>
      <c r="AD3" s="480"/>
      <c r="AE3" s="480"/>
      <c r="AF3" s="480"/>
      <c r="AG3" s="783"/>
      <c r="AH3" s="783"/>
      <c r="AI3" s="784"/>
      <c r="AJ3"/>
      <c r="AK3" s="527"/>
      <c r="AL3" s="528"/>
      <c r="AM3" s="528"/>
      <c r="AN3" s="528"/>
      <c r="AO3" s="528"/>
      <c r="AP3" s="528"/>
      <c r="AQ3" s="780"/>
      <c r="AR3" s="780"/>
      <c r="AS3" s="781"/>
    </row>
    <row r="4" spans="2:45" s="29" customFormat="1" ht="18.75" x14ac:dyDescent="0.3">
      <c r="B4" s="466"/>
      <c r="C4" s="465"/>
      <c r="D4" s="465"/>
      <c r="E4" s="465"/>
      <c r="F4" s="465"/>
      <c r="G4" s="465"/>
      <c r="H4" s="415"/>
      <c r="I4"/>
      <c r="J4" s="6"/>
      <c r="K4" s="520"/>
      <c r="L4" s="520"/>
      <c r="M4" s="520"/>
      <c r="N4" s="520"/>
      <c r="O4" s="33"/>
      <c r="P4"/>
      <c r="Q4" s="43"/>
      <c r="R4" s="473"/>
      <c r="S4" s="474"/>
      <c r="T4" s="474"/>
      <c r="U4" s="474"/>
      <c r="V4" s="474"/>
      <c r="W4" s="474"/>
      <c r="X4" s="474"/>
      <c r="Y4" s="67"/>
      <c r="AA4" s="45"/>
      <c r="AB4" s="480"/>
      <c r="AC4" s="480"/>
      <c r="AD4" s="480"/>
      <c r="AE4" s="480"/>
      <c r="AF4" s="480"/>
      <c r="AG4" s="480"/>
      <c r="AH4" s="480"/>
      <c r="AI4" s="24"/>
      <c r="AJ4"/>
      <c r="AK4" s="46"/>
      <c r="AL4" s="529"/>
      <c r="AM4" s="528"/>
      <c r="AN4" s="528"/>
      <c r="AO4" s="528"/>
      <c r="AP4" s="528"/>
      <c r="AQ4" s="528"/>
      <c r="AR4" s="528"/>
      <c r="AS4" s="28"/>
    </row>
    <row r="5" spans="2:45" ht="19.5" thickBot="1" x14ac:dyDescent="0.35">
      <c r="B5" s="572"/>
      <c r="C5" s="573"/>
      <c r="D5" s="765" t="s">
        <v>31</v>
      </c>
      <c r="E5" s="765"/>
      <c r="F5" s="765"/>
      <c r="G5" s="573"/>
      <c r="H5" s="574"/>
      <c r="J5" s="743" t="s">
        <v>32</v>
      </c>
      <c r="K5" s="744"/>
      <c r="L5" s="744"/>
      <c r="M5" s="744" t="s">
        <v>38</v>
      </c>
      <c r="N5" s="744"/>
      <c r="O5" s="745"/>
      <c r="Q5" s="43"/>
      <c r="R5" s="575"/>
      <c r="S5" s="575"/>
      <c r="T5" s="753" t="s">
        <v>33</v>
      </c>
      <c r="U5" s="753"/>
      <c r="V5" s="753"/>
      <c r="W5" s="575"/>
      <c r="X5" s="575"/>
      <c r="Y5" s="576"/>
      <c r="AA5" s="481"/>
      <c r="AB5" s="482"/>
      <c r="AC5" s="482"/>
      <c r="AD5" s="779" t="s">
        <v>34</v>
      </c>
      <c r="AE5" s="779"/>
      <c r="AF5" s="779"/>
      <c r="AG5" s="482"/>
      <c r="AH5" s="480"/>
      <c r="AI5" s="24"/>
      <c r="AK5" s="27"/>
      <c r="AL5" s="530"/>
      <c r="AM5" s="778" t="s">
        <v>35</v>
      </c>
      <c r="AN5" s="778"/>
      <c r="AO5" s="778"/>
      <c r="AP5" s="778"/>
      <c r="AQ5" s="778"/>
      <c r="AR5" s="528"/>
      <c r="AS5" s="28"/>
    </row>
    <row r="6" spans="2:45" s="29" customFormat="1" ht="18.75" customHeight="1" thickBot="1" x14ac:dyDescent="0.35">
      <c r="B6" s="467"/>
      <c r="C6" s="468"/>
      <c r="D6" s="746">
        <v>50</v>
      </c>
      <c r="E6" s="747"/>
      <c r="F6" s="748"/>
      <c r="G6" s="468"/>
      <c r="H6" s="469"/>
      <c r="I6"/>
      <c r="J6" s="6"/>
      <c r="K6" s="521">
        <v>0.1</v>
      </c>
      <c r="L6" s="522"/>
      <c r="M6" s="520"/>
      <c r="N6" s="521">
        <v>100</v>
      </c>
      <c r="O6" s="523"/>
      <c r="P6"/>
      <c r="Q6" s="23"/>
      <c r="R6" s="475"/>
      <c r="S6" s="476"/>
      <c r="T6" s="762">
        <v>50</v>
      </c>
      <c r="U6" s="763"/>
      <c r="V6" s="764"/>
      <c r="W6" s="476"/>
      <c r="X6" s="476"/>
      <c r="Y6" s="68"/>
      <c r="AA6" s="25"/>
      <c r="AB6" s="483"/>
      <c r="AC6" s="483"/>
      <c r="AD6" s="775">
        <v>0.5</v>
      </c>
      <c r="AE6" s="776"/>
      <c r="AF6" s="777"/>
      <c r="AG6" s="483"/>
      <c r="AH6" s="480"/>
      <c r="AI6" s="24"/>
      <c r="AJ6"/>
      <c r="AK6" s="27"/>
      <c r="AL6" s="531"/>
      <c r="AM6" s="531"/>
      <c r="AN6" s="775">
        <v>25</v>
      </c>
      <c r="AO6" s="776"/>
      <c r="AP6" s="777"/>
      <c r="AQ6" s="531"/>
      <c r="AR6" s="528"/>
      <c r="AS6" s="28"/>
    </row>
    <row r="7" spans="2:45" s="29" customFormat="1" ht="18.75" customHeight="1" thickBot="1" x14ac:dyDescent="0.35">
      <c r="B7" s="470"/>
      <c r="C7" s="471"/>
      <c r="D7" s="471"/>
      <c r="E7" s="471"/>
      <c r="F7" s="471"/>
      <c r="G7" s="471"/>
      <c r="H7" s="472"/>
      <c r="I7"/>
      <c r="J7" s="3"/>
      <c r="K7" s="4" t="s">
        <v>63</v>
      </c>
      <c r="L7" s="4"/>
      <c r="M7" s="4"/>
      <c r="N7" s="4"/>
      <c r="O7" s="5"/>
      <c r="P7"/>
      <c r="Q7" s="21"/>
      <c r="R7" s="22"/>
      <c r="S7" s="69"/>
      <c r="T7" s="69"/>
      <c r="U7" s="69"/>
      <c r="V7" s="69"/>
      <c r="W7" s="69"/>
      <c r="X7" s="69"/>
      <c r="Y7" s="70"/>
      <c r="AA7" s="484"/>
      <c r="AB7" s="483"/>
      <c r="AC7" s="485"/>
      <c r="AD7" s="486"/>
      <c r="AE7" s="483"/>
      <c r="AF7" s="483"/>
      <c r="AG7" s="483"/>
      <c r="AH7" s="26"/>
      <c r="AI7" s="24"/>
      <c r="AJ7"/>
      <c r="AK7" s="27"/>
      <c r="AL7" s="531"/>
      <c r="AM7" s="532"/>
      <c r="AN7" s="533"/>
      <c r="AO7" s="533"/>
      <c r="AP7" s="533"/>
      <c r="AQ7" s="531"/>
      <c r="AR7" s="528"/>
      <c r="AS7" s="28"/>
    </row>
    <row r="8" spans="2:45" ht="35.25" customHeight="1" thickBot="1" x14ac:dyDescent="0.3">
      <c r="B8" s="487" t="s">
        <v>0</v>
      </c>
      <c r="C8" s="488" t="s">
        <v>23</v>
      </c>
      <c r="D8" s="489" t="s">
        <v>2</v>
      </c>
      <c r="E8" s="489" t="s">
        <v>3</v>
      </c>
      <c r="F8" s="637" t="s">
        <v>4</v>
      </c>
      <c r="G8" s="490" t="s">
        <v>28</v>
      </c>
      <c r="H8" s="637" t="s">
        <v>29</v>
      </c>
      <c r="I8" s="534"/>
      <c r="J8" s="633" t="s">
        <v>0</v>
      </c>
      <c r="K8" s="120" t="s">
        <v>23</v>
      </c>
      <c r="L8" s="56" t="s">
        <v>2</v>
      </c>
      <c r="M8" s="54" t="s">
        <v>3</v>
      </c>
      <c r="N8" s="54" t="s">
        <v>4</v>
      </c>
      <c r="O8" s="55" t="s">
        <v>20</v>
      </c>
      <c r="Q8" s="79" t="s">
        <v>0</v>
      </c>
      <c r="R8" s="80" t="s">
        <v>23</v>
      </c>
      <c r="S8" s="57" t="s">
        <v>2</v>
      </c>
      <c r="T8" s="57" t="s">
        <v>3</v>
      </c>
      <c r="U8" s="57" t="s">
        <v>4</v>
      </c>
      <c r="V8" s="57" t="s">
        <v>5</v>
      </c>
      <c r="W8" s="58" t="s">
        <v>6</v>
      </c>
      <c r="X8" s="58" t="s">
        <v>9</v>
      </c>
      <c r="Y8" s="58" t="s">
        <v>30</v>
      </c>
      <c r="AA8" s="37" t="s">
        <v>0</v>
      </c>
      <c r="AB8" s="38" t="s">
        <v>23</v>
      </c>
      <c r="AC8" s="38" t="s">
        <v>2</v>
      </c>
      <c r="AD8" s="38" t="s">
        <v>3</v>
      </c>
      <c r="AE8" s="38" t="s">
        <v>4</v>
      </c>
      <c r="AF8" s="38" t="s">
        <v>5</v>
      </c>
      <c r="AG8" s="38" t="s">
        <v>6</v>
      </c>
      <c r="AH8" s="38" t="s">
        <v>10</v>
      </c>
      <c r="AI8" s="38" t="s">
        <v>14</v>
      </c>
      <c r="AK8" s="36" t="s">
        <v>0</v>
      </c>
      <c r="AL8" s="35" t="s">
        <v>23</v>
      </c>
      <c r="AM8" s="36" t="s">
        <v>2</v>
      </c>
      <c r="AN8" s="36" t="s">
        <v>3</v>
      </c>
      <c r="AO8" s="34" t="s">
        <v>4</v>
      </c>
      <c r="AP8" s="76" t="s">
        <v>5</v>
      </c>
      <c r="AQ8" s="36" t="s">
        <v>6</v>
      </c>
      <c r="AR8" s="36" t="s">
        <v>10</v>
      </c>
      <c r="AS8" s="36" t="s">
        <v>14</v>
      </c>
    </row>
    <row r="9" spans="2:45" ht="24" customHeight="1" x14ac:dyDescent="0.25">
      <c r="B9" s="706" t="s">
        <v>8</v>
      </c>
      <c r="C9" s="493">
        <v>14</v>
      </c>
      <c r="D9" s="416">
        <v>0.01</v>
      </c>
      <c r="E9" s="417">
        <v>4.4977800000000003E-8</v>
      </c>
      <c r="F9" s="418">
        <v>2.0343268619999999</v>
      </c>
      <c r="G9" s="556">
        <f>IF(OR(0.01*(1/(D9+E9*(D$6^F9)))&lt;0.3,0.01*(1/(D9+E9*(D$6^F9)))&gt;1),"Under 30%",0.01*(1/(D9+E9*(D$6^F9))))</f>
        <v>0.98730277301791447</v>
      </c>
      <c r="H9" s="123">
        <f>IF(G9="Under 30%","Out of Range",G9*C9)</f>
        <v>13.822238822250803</v>
      </c>
      <c r="J9" s="749" t="s">
        <v>8</v>
      </c>
      <c r="K9" s="181">
        <v>14</v>
      </c>
      <c r="L9" s="242">
        <v>64.430275295925242</v>
      </c>
      <c r="M9" s="182">
        <v>1.988</v>
      </c>
      <c r="N9" s="183">
        <v>1.5409999999999999</v>
      </c>
      <c r="O9" s="184">
        <f t="shared" ref="O9:O40" si="0">IF(OR($K$6=0,$N$6=0),"",L9*$K$6^M9*$N$6^N9)</f>
        <v>800</v>
      </c>
      <c r="Q9" s="735" t="s">
        <v>8</v>
      </c>
      <c r="R9" s="130">
        <v>14</v>
      </c>
      <c r="S9" s="173">
        <v>3.918E-2</v>
      </c>
      <c r="T9" s="153">
        <v>1.856E-2</v>
      </c>
      <c r="U9" s="153">
        <v>4.8119999999999999E-4</v>
      </c>
      <c r="V9" s="153">
        <v>0.13900000000000001</v>
      </c>
      <c r="W9" s="153">
        <v>4.4779999999999999E-4</v>
      </c>
      <c r="X9" s="365">
        <v>1.875</v>
      </c>
      <c r="Y9" s="133">
        <f t="shared" ref="Y9:Y48" si="1">IF(T$6&gt;240,"out of range",IF($T$6="","",((S9+T9*$T$6+U9*$T$6^2)/(1+V9*$T$6+W9*$T$6^2))^X9))</f>
        <v>6.8463763958258581E-2</v>
      </c>
      <c r="AA9" s="769" t="s">
        <v>8</v>
      </c>
      <c r="AB9" s="250">
        <v>14</v>
      </c>
      <c r="AC9" s="253">
        <v>1.9109999999999998E-4</v>
      </c>
      <c r="AD9" s="254">
        <v>-4.2979999999999997E-3</v>
      </c>
      <c r="AE9" s="254">
        <v>-5.0020000000000006E-5</v>
      </c>
      <c r="AF9" s="254">
        <v>1.3730000000000001E-5</v>
      </c>
      <c r="AG9" s="255">
        <v>-6.2610000000000003E-7</v>
      </c>
      <c r="AH9" s="259">
        <f t="shared" ref="AH9:AH48" si="2">IF(AD$6&gt;10,"out of range",IF($AD$6="","",AC9+AD9*$AD$6+AE9*$AD$6^2+AF9*$AD$6^3+AG9*$AD$6^4))</f>
        <v>-1.9687278812499996E-3</v>
      </c>
      <c r="AI9" s="123">
        <f t="shared" ref="AI9:AI48" si="3">IF(AD$6&gt;10,"out of range",IF($AD$6=0,"",AH9*AB9))</f>
        <v>-2.7562190337499994E-2</v>
      </c>
      <c r="AK9" s="772" t="s">
        <v>8</v>
      </c>
      <c r="AL9" s="268">
        <v>14</v>
      </c>
      <c r="AM9" s="273">
        <v>-1.892E-3</v>
      </c>
      <c r="AN9" s="274">
        <v>9.8659999999999994E-5</v>
      </c>
      <c r="AO9" s="274">
        <v>-1.9659999999999999E-6</v>
      </c>
      <c r="AP9" s="274">
        <v>5.7280000000000001E-9</v>
      </c>
      <c r="AQ9" s="275">
        <v>-8.7059999999999997E-14</v>
      </c>
      <c r="AR9" s="259">
        <f t="shared" ref="AR9:AR58" si="4">IF(OR(AN$6&lt;-60,AN$6&gt;200),"out of range",IF($AN$6="","",AM9+AN9*$AN$6+AO9*$AN$6^2+AP9*$AN$6^3+AQ9*$AN$6^4))</f>
        <v>-5.6478400781250014E-4</v>
      </c>
      <c r="AS9" s="126">
        <f t="shared" ref="AS9:AS48" si="5">IF(OR(AN$6&lt;-60,AN$6&gt;200),"out of range",IF($AN$6="","",AR9*AL9))</f>
        <v>-7.9069761093750017E-3</v>
      </c>
    </row>
    <row r="10" spans="2:45" ht="24" customHeight="1" x14ac:dyDescent="0.25">
      <c r="B10" s="706"/>
      <c r="C10" s="494">
        <v>26</v>
      </c>
      <c r="D10" s="419">
        <v>0.01</v>
      </c>
      <c r="E10" s="420">
        <v>5.2662138758857603E-7</v>
      </c>
      <c r="F10" s="421">
        <v>1.8189496240181691</v>
      </c>
      <c r="G10" s="347">
        <f t="shared" ref="G10:G41" si="6">IF(OR(0.01*(1/(D10+E10*(D$6^F10)))&lt;0.3,0.01*(1/(D10+E10*(D$6^F10)))&gt;1),"Under 30%",0.01*(1/(D10+E10*(D$6^F10))))</f>
        <v>0.93910870507627497</v>
      </c>
      <c r="H10" s="124">
        <f t="shared" ref="H10:H41" si="7">IF(G10="Under 30%","Out of Range",G10*C10)</f>
        <v>24.416826331983149</v>
      </c>
      <c r="J10" s="749"/>
      <c r="K10" s="185">
        <v>26</v>
      </c>
      <c r="L10" s="186">
        <v>52.36</v>
      </c>
      <c r="M10" s="187">
        <v>1.988</v>
      </c>
      <c r="N10" s="188">
        <v>1.5409999999999999</v>
      </c>
      <c r="O10" s="189">
        <f t="shared" si="0"/>
        <v>650.12914825538724</v>
      </c>
      <c r="Q10" s="735"/>
      <c r="R10" s="134">
        <v>26</v>
      </c>
      <c r="S10" s="366">
        <v>3.7629999999999997E-2</v>
      </c>
      <c r="T10" s="367">
        <v>1.712E-2</v>
      </c>
      <c r="U10" s="367">
        <v>5.1550000000000001E-4</v>
      </c>
      <c r="V10" s="367">
        <v>9.1899999999999996E-2</v>
      </c>
      <c r="W10" s="367">
        <v>4.9089999999999995E-4</v>
      </c>
      <c r="X10" s="368">
        <v>1.8120000000000001</v>
      </c>
      <c r="Y10" s="137">
        <f t="shared" si="1"/>
        <v>0.12678415202975299</v>
      </c>
      <c r="AA10" s="770"/>
      <c r="AB10" s="251">
        <v>26</v>
      </c>
      <c r="AC10" s="292">
        <v>3.5499999999999996E-4</v>
      </c>
      <c r="AD10" s="293">
        <v>-7.9819999999999995E-3</v>
      </c>
      <c r="AE10" s="293">
        <v>-9.2899999999999995E-5</v>
      </c>
      <c r="AF10" s="293">
        <v>2.5509999999999998E-5</v>
      </c>
      <c r="AG10" s="294">
        <v>-1.1629999999999999E-6</v>
      </c>
      <c r="AH10" s="260">
        <f t="shared" si="2"/>
        <v>-3.6561089374999999E-3</v>
      </c>
      <c r="AI10" s="126">
        <f t="shared" si="3"/>
        <v>-9.5058832374999999E-2</v>
      </c>
      <c r="AK10" s="773"/>
      <c r="AL10" s="266">
        <v>26</v>
      </c>
      <c r="AM10" s="276">
        <v>-2.8566816767468294E-3</v>
      </c>
      <c r="AN10" s="277">
        <v>1.6408972351181534E-4</v>
      </c>
      <c r="AO10" s="277">
        <v>-3.2327973586926702E-6</v>
      </c>
      <c r="AP10" s="277">
        <v>1.1466043828458718E-8</v>
      </c>
      <c r="AQ10" s="278">
        <v>-8.391358285423173E-12</v>
      </c>
      <c r="AR10" s="260">
        <f t="shared" si="4"/>
        <v>-5.9905787764494127E-4</v>
      </c>
      <c r="AS10" s="126">
        <f t="shared" si="5"/>
        <v>-1.5575504818768474E-2</v>
      </c>
    </row>
    <row r="11" spans="2:45" ht="24" customHeight="1" x14ac:dyDescent="0.25">
      <c r="B11" s="706"/>
      <c r="C11" s="494">
        <v>40</v>
      </c>
      <c r="D11" s="419">
        <v>0.01</v>
      </c>
      <c r="E11" s="420">
        <v>2.1772688446718944E-6</v>
      </c>
      <c r="F11" s="421">
        <v>1.7039155851053662</v>
      </c>
      <c r="G11" s="347">
        <f t="shared" si="6"/>
        <v>0.85402338465703542</v>
      </c>
      <c r="H11" s="124">
        <f t="shared" si="7"/>
        <v>34.160935386281416</v>
      </c>
      <c r="J11" s="749"/>
      <c r="K11" s="185">
        <v>40</v>
      </c>
      <c r="L11" s="186">
        <v>52.36</v>
      </c>
      <c r="M11" s="187">
        <v>1.988</v>
      </c>
      <c r="N11" s="188">
        <v>1.5409999999999999</v>
      </c>
      <c r="O11" s="189">
        <f t="shared" si="0"/>
        <v>650.12914825538724</v>
      </c>
      <c r="Q11" s="735"/>
      <c r="R11" s="134">
        <v>40</v>
      </c>
      <c r="S11" s="355">
        <v>3.789E-2</v>
      </c>
      <c r="T11" s="135">
        <v>1.6320000000000001E-2</v>
      </c>
      <c r="U11" s="135">
        <v>5.3549999999999995E-4</v>
      </c>
      <c r="V11" s="135">
        <v>7.3649999999999993E-2</v>
      </c>
      <c r="W11" s="135">
        <v>5.1099999999999995E-4</v>
      </c>
      <c r="X11" s="369">
        <v>1.665</v>
      </c>
      <c r="Y11" s="137">
        <f t="shared" si="1"/>
        <v>0.18920194050779837</v>
      </c>
      <c r="Z11" s="1"/>
      <c r="AA11" s="770"/>
      <c r="AB11" s="251">
        <v>40</v>
      </c>
      <c r="AC11" s="292">
        <v>5.4609999999999999E-4</v>
      </c>
      <c r="AD11" s="293">
        <v>-1.2279999999999999E-2</v>
      </c>
      <c r="AE11" s="293">
        <v>-1.429E-4</v>
      </c>
      <c r="AF11" s="293">
        <v>3.9240000000000004E-5</v>
      </c>
      <c r="AG11" s="294">
        <v>-1.7890000000000002E-6</v>
      </c>
      <c r="AH11" s="260">
        <f t="shared" si="2"/>
        <v>-5.6248318124999998E-3</v>
      </c>
      <c r="AI11" s="126">
        <f t="shared" si="3"/>
        <v>-0.22499327250000001</v>
      </c>
      <c r="AK11" s="773"/>
      <c r="AL11" s="266">
        <v>40</v>
      </c>
      <c r="AM11" s="276">
        <v>-3.9821436329514626E-3</v>
      </c>
      <c r="AN11" s="277">
        <v>2.4042440094226657E-4</v>
      </c>
      <c r="AO11" s="277">
        <v>-4.7107276105007858E-6</v>
      </c>
      <c r="AP11" s="277">
        <v>1.8160428294993887E-8</v>
      </c>
      <c r="AQ11" s="278">
        <v>-1.8079706285083538E-11</v>
      </c>
      <c r="AR11" s="260">
        <f t="shared" si="4"/>
        <v>-6.3904405911612114E-4</v>
      </c>
      <c r="AS11" s="126">
        <f t="shared" si="5"/>
        <v>-2.5561762364644844E-2</v>
      </c>
    </row>
    <row r="12" spans="2:45" ht="24" customHeight="1" x14ac:dyDescent="0.25">
      <c r="B12" s="706"/>
      <c r="C12" s="494">
        <v>60</v>
      </c>
      <c r="D12" s="419">
        <v>0.01</v>
      </c>
      <c r="E12" s="420">
        <v>2.1417191961868097E-6</v>
      </c>
      <c r="F12" s="421">
        <v>1.8552832463136577</v>
      </c>
      <c r="G12" s="347">
        <f t="shared" si="6"/>
        <v>0.76688782464875105</v>
      </c>
      <c r="H12" s="124">
        <f t="shared" si="7"/>
        <v>46.013269478925061</v>
      </c>
      <c r="J12" s="749"/>
      <c r="K12" s="185">
        <v>60</v>
      </c>
      <c r="L12" s="624">
        <v>44.3</v>
      </c>
      <c r="M12" s="625">
        <v>1.988</v>
      </c>
      <c r="N12" s="626">
        <v>1.5409999999999999</v>
      </c>
      <c r="O12" s="189">
        <f t="shared" si="0"/>
        <v>550.05197226343876</v>
      </c>
      <c r="Q12" s="735"/>
      <c r="R12" s="134">
        <v>60</v>
      </c>
      <c r="S12" s="366">
        <v>3.601E-2</v>
      </c>
      <c r="T12" s="367">
        <v>1.721E-2</v>
      </c>
      <c r="U12" s="367">
        <v>5.4009999999999996E-4</v>
      </c>
      <c r="V12" s="367">
        <v>5.6239999999999998E-2</v>
      </c>
      <c r="W12" s="367">
        <v>5.1559999999999996E-4</v>
      </c>
      <c r="X12" s="368">
        <v>1.577</v>
      </c>
      <c r="Y12" s="137">
        <f t="shared" si="1"/>
        <v>0.27443054268557809</v>
      </c>
      <c r="AA12" s="770"/>
      <c r="AB12" s="251">
        <v>60</v>
      </c>
      <c r="AC12" s="292">
        <v>8.1910000000000001E-4</v>
      </c>
      <c r="AD12" s="293">
        <v>-1.8420000000000002E-2</v>
      </c>
      <c r="AE12" s="293">
        <v>-2.1440000000000001E-4</v>
      </c>
      <c r="AF12" s="293">
        <v>5.8859999999999995E-5</v>
      </c>
      <c r="AG12" s="294">
        <v>-2.683E-6</v>
      </c>
      <c r="AH12" s="260">
        <f t="shared" si="2"/>
        <v>-8.4373101875000016E-3</v>
      </c>
      <c r="AI12" s="126">
        <f t="shared" si="3"/>
        <v>-0.50623861125000014</v>
      </c>
      <c r="AK12" s="773"/>
      <c r="AL12" s="266">
        <v>60</v>
      </c>
      <c r="AM12" s="276">
        <v>-5.5899464275295119E-3</v>
      </c>
      <c r="AN12" s="277">
        <v>3.4947394012862544E-4</v>
      </c>
      <c r="AO12" s="277">
        <v>-6.8220565416552368E-6</v>
      </c>
      <c r="AP12" s="277">
        <v>2.7723834675758416E-8</v>
      </c>
      <c r="AQ12" s="278">
        <v>-3.1920203427455487E-11</v>
      </c>
      <c r="AR12" s="260">
        <f t="shared" si="4"/>
        <v>-6.9616717550352375E-4</v>
      </c>
      <c r="AS12" s="126">
        <f t="shared" si="5"/>
        <v>-4.1770030530211423E-2</v>
      </c>
    </row>
    <row r="13" spans="2:45" ht="24" customHeight="1" x14ac:dyDescent="0.25">
      <c r="B13" s="706"/>
      <c r="C13" s="494">
        <v>75</v>
      </c>
      <c r="D13" s="419">
        <v>0.01</v>
      </c>
      <c r="E13" s="420">
        <v>3.8847047797208461E-6</v>
      </c>
      <c r="F13" s="421">
        <v>1.8189496240181691</v>
      </c>
      <c r="G13" s="347">
        <f t="shared" si="6"/>
        <v>0.67645344326836354</v>
      </c>
      <c r="H13" s="124">
        <f t="shared" si="7"/>
        <v>50.734008245127264</v>
      </c>
      <c r="J13" s="749"/>
      <c r="K13" s="185">
        <v>75</v>
      </c>
      <c r="L13" s="624">
        <v>44.3</v>
      </c>
      <c r="M13" s="625">
        <v>1.988</v>
      </c>
      <c r="N13" s="626">
        <v>1.5409999999999999</v>
      </c>
      <c r="O13" s="189">
        <f t="shared" si="0"/>
        <v>550.05197226343876</v>
      </c>
      <c r="Q13" s="735"/>
      <c r="R13" s="134">
        <v>75</v>
      </c>
      <c r="S13" s="355">
        <v>3.1109999999999999E-2</v>
      </c>
      <c r="T13" s="135">
        <v>2.2859999999999998E-2</v>
      </c>
      <c r="U13" s="135">
        <v>5.3430000000000003E-4</v>
      </c>
      <c r="V13" s="135">
        <v>5.568E-2</v>
      </c>
      <c r="W13" s="135">
        <v>4.9819999999999997E-4</v>
      </c>
      <c r="X13" s="369">
        <v>1.6140000000000001</v>
      </c>
      <c r="Y13" s="137">
        <f t="shared" si="1"/>
        <v>0.32566661578463441</v>
      </c>
      <c r="AA13" s="770"/>
      <c r="AB13" s="251">
        <v>75</v>
      </c>
      <c r="AC13" s="292">
        <v>1.024E-3</v>
      </c>
      <c r="AD13" s="293">
        <v>-2.3029999999999998E-2</v>
      </c>
      <c r="AE13" s="293">
        <v>-2.6800000000000001E-4</v>
      </c>
      <c r="AF13" s="293">
        <v>7.3579999999999997E-5</v>
      </c>
      <c r="AG13" s="294">
        <v>-3.3540000000000004E-6</v>
      </c>
      <c r="AH13" s="260">
        <f t="shared" si="2"/>
        <v>-1.0549012124999998E-2</v>
      </c>
      <c r="AI13" s="126">
        <f t="shared" si="3"/>
        <v>-0.79117590937499982</v>
      </c>
      <c r="AK13" s="773"/>
      <c r="AL13" s="266">
        <v>75</v>
      </c>
      <c r="AM13" s="276">
        <v>-6.7957985234630477E-3</v>
      </c>
      <c r="AN13" s="277">
        <v>4.3126109451839469E-4</v>
      </c>
      <c r="AO13" s="277">
        <v>-8.4055532400210761E-6</v>
      </c>
      <c r="AP13" s="277">
        <v>3.4896389461331815E-8</v>
      </c>
      <c r="AQ13" s="278">
        <v>-4.230057628423446E-11</v>
      </c>
      <c r="AR13" s="260">
        <f t="shared" si="4"/>
        <v>-7.3900951279407153E-4</v>
      </c>
      <c r="AS13" s="126">
        <f t="shared" si="5"/>
        <v>-5.5425713459555367E-2</v>
      </c>
    </row>
    <row r="14" spans="2:45" ht="24" customHeight="1" x14ac:dyDescent="0.25">
      <c r="B14" s="706"/>
      <c r="C14" s="494">
        <v>90</v>
      </c>
      <c r="D14" s="419">
        <v>0.01</v>
      </c>
      <c r="E14" s="420">
        <v>5.829515369673348E-6</v>
      </c>
      <c r="F14" s="421">
        <v>1.8189496240181691</v>
      </c>
      <c r="G14" s="347">
        <f t="shared" si="6"/>
        <v>0.58215683465349533</v>
      </c>
      <c r="H14" s="124">
        <f t="shared" si="7"/>
        <v>52.394115118814582</v>
      </c>
      <c r="J14" s="749"/>
      <c r="K14" s="185">
        <v>90</v>
      </c>
      <c r="L14" s="624">
        <v>44.3</v>
      </c>
      <c r="M14" s="625">
        <v>1.988</v>
      </c>
      <c r="N14" s="626">
        <v>1.5409999999999999</v>
      </c>
      <c r="O14" s="189">
        <f t="shared" si="0"/>
        <v>550.05197226343876</v>
      </c>
      <c r="Q14" s="735"/>
      <c r="R14" s="134">
        <v>90</v>
      </c>
      <c r="S14" s="366">
        <v>2.9649999999999999E-2</v>
      </c>
      <c r="T14" s="367">
        <v>2.538E-2</v>
      </c>
      <c r="U14" s="367">
        <v>5.1420000000000003E-4</v>
      </c>
      <c r="V14" s="367">
        <v>5.305E-2</v>
      </c>
      <c r="W14" s="367">
        <v>4.8670000000000001E-4</v>
      </c>
      <c r="X14" s="368">
        <v>1.5780000000000001</v>
      </c>
      <c r="Y14" s="137">
        <f t="shared" si="1"/>
        <v>0.36797830091782913</v>
      </c>
      <c r="AA14" s="770"/>
      <c r="AB14" s="251">
        <v>90</v>
      </c>
      <c r="AC14" s="292">
        <v>1.2290000000000001E-3</v>
      </c>
      <c r="AD14" s="293">
        <v>-2.7631000000000003E-2</v>
      </c>
      <c r="AE14" s="293">
        <v>-3.2160000000000001E-4</v>
      </c>
      <c r="AF14" s="293">
        <v>8.8289999999999997E-5</v>
      </c>
      <c r="AG14" s="294">
        <v>-4.0250000000000004E-6</v>
      </c>
      <c r="AH14" s="260">
        <f t="shared" si="2"/>
        <v>-1.2656115312499999E-2</v>
      </c>
      <c r="AI14" s="126">
        <f t="shared" si="3"/>
        <v>-1.1390503781249999</v>
      </c>
      <c r="AK14" s="773"/>
      <c r="AL14" s="266">
        <v>90</v>
      </c>
      <c r="AM14" s="276">
        <v>-8.0016506193965834E-3</v>
      </c>
      <c r="AN14" s="277">
        <v>5.1304824890816383E-4</v>
      </c>
      <c r="AO14" s="277">
        <v>-9.989049938386912E-6</v>
      </c>
      <c r="AP14" s="277">
        <v>4.2068944246905207E-8</v>
      </c>
      <c r="AQ14" s="278">
        <v>-5.2680949141013419E-11</v>
      </c>
      <c r="AR14" s="260">
        <f t="shared" si="4"/>
        <v>-7.8185185008462202E-4</v>
      </c>
      <c r="AS14" s="126">
        <f t="shared" si="5"/>
        <v>-7.0366666507615985E-2</v>
      </c>
    </row>
    <row r="15" spans="2:45" ht="24" customHeight="1" thickBot="1" x14ac:dyDescent="0.3">
      <c r="B15" s="707"/>
      <c r="C15" s="495">
        <v>125</v>
      </c>
      <c r="D15" s="422">
        <v>0.01</v>
      </c>
      <c r="E15" s="423">
        <v>2.2087355769163584E-5</v>
      </c>
      <c r="F15" s="424">
        <v>1.6361357982025031</v>
      </c>
      <c r="G15" s="128">
        <f t="shared" si="6"/>
        <v>0.42916326615249295</v>
      </c>
      <c r="H15" s="125">
        <f t="shared" si="7"/>
        <v>53.645408269061619</v>
      </c>
      <c r="J15" s="750"/>
      <c r="K15" s="190">
        <v>125</v>
      </c>
      <c r="L15" s="627">
        <v>44.3</v>
      </c>
      <c r="M15" s="628">
        <v>1.988</v>
      </c>
      <c r="N15" s="629">
        <v>1.5409999999999999</v>
      </c>
      <c r="O15" s="191">
        <f t="shared" si="0"/>
        <v>550.05197226343876</v>
      </c>
      <c r="Q15" s="736"/>
      <c r="R15" s="138">
        <v>125</v>
      </c>
      <c r="S15" s="363">
        <v>2.7300000000000001E-2</v>
      </c>
      <c r="T15" s="147">
        <v>2.946E-2</v>
      </c>
      <c r="U15" s="147">
        <v>5.0379999999999999E-4</v>
      </c>
      <c r="V15" s="147">
        <v>5.2740000000000002E-2</v>
      </c>
      <c r="W15" s="147">
        <v>4.639E-4</v>
      </c>
      <c r="X15" s="360">
        <v>1.4710000000000001</v>
      </c>
      <c r="Y15" s="141">
        <f t="shared" si="1"/>
        <v>0.44346342194650845</v>
      </c>
      <c r="AA15" s="771"/>
      <c r="AB15" s="256">
        <v>125</v>
      </c>
      <c r="AC15" s="295">
        <v>1.707E-3</v>
      </c>
      <c r="AD15" s="296">
        <v>-3.8376E-2</v>
      </c>
      <c r="AE15" s="296">
        <v>-4.4659999999999996E-4</v>
      </c>
      <c r="AF15" s="296">
        <v>1.226E-4</v>
      </c>
      <c r="AG15" s="297">
        <v>-5.5900000000000007E-6</v>
      </c>
      <c r="AH15" s="261">
        <f t="shared" si="2"/>
        <v>-1.7577674375000001E-2</v>
      </c>
      <c r="AI15" s="262">
        <f t="shared" si="3"/>
        <v>-2.1972092968750001</v>
      </c>
      <c r="AK15" s="774"/>
      <c r="AL15" s="269">
        <v>125</v>
      </c>
      <c r="AM15" s="279">
        <v>-1.0815305509908169E-2</v>
      </c>
      <c r="AN15" s="280">
        <v>7.0388494248429189E-4</v>
      </c>
      <c r="AO15" s="280">
        <v>-1.3683875567907201E-5</v>
      </c>
      <c r="AP15" s="280">
        <v>5.8804905413243131E-8</v>
      </c>
      <c r="AQ15" s="281">
        <v>-7.6901819140164343E-11</v>
      </c>
      <c r="AR15" s="261">
        <f t="shared" si="4"/>
        <v>-8.8181730376257555E-4</v>
      </c>
      <c r="AS15" s="262">
        <f t="shared" si="5"/>
        <v>-0.11022716297032194</v>
      </c>
    </row>
    <row r="16" spans="2:45" ht="24" customHeight="1" x14ac:dyDescent="0.25">
      <c r="B16" s="708" t="s">
        <v>17</v>
      </c>
      <c r="C16" s="493">
        <v>14</v>
      </c>
      <c r="D16" s="425">
        <v>0.01</v>
      </c>
      <c r="E16" s="417">
        <v>8.2737677014449544E-9</v>
      </c>
      <c r="F16" s="426">
        <v>2.2394290091721976</v>
      </c>
      <c r="G16" s="556">
        <f t="shared" si="6"/>
        <v>0.9947502323068238</v>
      </c>
      <c r="H16" s="126">
        <f t="shared" si="7"/>
        <v>13.926503252295532</v>
      </c>
      <c r="J16" s="754" t="s">
        <v>17</v>
      </c>
      <c r="K16" s="192">
        <v>14</v>
      </c>
      <c r="L16" s="193">
        <v>144.49</v>
      </c>
      <c r="M16" s="194">
        <v>2.0720000000000001</v>
      </c>
      <c r="N16" s="195">
        <v>1.379</v>
      </c>
      <c r="O16" s="196">
        <f t="shared" si="0"/>
        <v>701.19335388424963</v>
      </c>
      <c r="Q16" s="738" t="s">
        <v>17</v>
      </c>
      <c r="R16" s="130">
        <v>14</v>
      </c>
      <c r="S16" s="173">
        <v>3.9449622409800711E-2</v>
      </c>
      <c r="T16" s="153">
        <v>1.9217520190688158E-2</v>
      </c>
      <c r="U16" s="131">
        <v>4.8816017603633076E-4</v>
      </c>
      <c r="V16" s="131">
        <v>0.14301591897494007</v>
      </c>
      <c r="W16" s="153">
        <v>4.2167435125525083E-4</v>
      </c>
      <c r="X16" s="154">
        <v>1.8951601923448618</v>
      </c>
      <c r="Y16" s="133">
        <f t="shared" si="1"/>
        <v>6.7559374926161528E-2</v>
      </c>
      <c r="AA16" s="786" t="s">
        <v>17</v>
      </c>
      <c r="AB16" s="257">
        <v>14</v>
      </c>
      <c r="AC16" s="253">
        <v>8.4646213023949733E-5</v>
      </c>
      <c r="AD16" s="254">
        <v>-1.9035322230510981E-3</v>
      </c>
      <c r="AE16" s="254">
        <v>-2.2156205679813001E-5</v>
      </c>
      <c r="AF16" s="254">
        <v>6.082622510791945E-6</v>
      </c>
      <c r="AG16" s="255">
        <v>-2.7726259253236139E-7</v>
      </c>
      <c r="AH16" s="259">
        <f t="shared" si="2"/>
        <v>-8.7191595101973683E-4</v>
      </c>
      <c r="AI16" s="123">
        <f t="shared" si="3"/>
        <v>-1.2206823314276315E-2</v>
      </c>
      <c r="AK16" s="789" t="s">
        <v>17</v>
      </c>
      <c r="AL16" s="265">
        <v>14</v>
      </c>
      <c r="AM16" s="282">
        <v>-5.8839730468749989E-4</v>
      </c>
      <c r="AN16" s="274">
        <v>4.3843333333333334E-5</v>
      </c>
      <c r="AO16" s="274">
        <v>-8.8036666666666667E-7</v>
      </c>
      <c r="AP16" s="274">
        <v>2.7346666666666667E-9</v>
      </c>
      <c r="AQ16" s="283">
        <v>-4.7623333333333332E-13</v>
      </c>
      <c r="AR16" s="259">
        <f t="shared" si="4"/>
        <v>2.6400958174732474E-19</v>
      </c>
      <c r="AS16" s="123">
        <f t="shared" si="5"/>
        <v>3.6961341444625463E-18</v>
      </c>
    </row>
    <row r="17" spans="2:45" ht="24" customHeight="1" x14ac:dyDescent="0.25">
      <c r="B17" s="768"/>
      <c r="C17" s="494">
        <v>19</v>
      </c>
      <c r="D17" s="419">
        <v>0.01</v>
      </c>
      <c r="E17" s="420">
        <v>3.1356414722723549E-8</v>
      </c>
      <c r="F17" s="421">
        <v>2.1107453632639701</v>
      </c>
      <c r="G17" s="347">
        <f t="shared" si="6"/>
        <v>0.98805460798357381</v>
      </c>
      <c r="H17" s="124">
        <f t="shared" si="7"/>
        <v>18.773037551687903</v>
      </c>
      <c r="J17" s="767"/>
      <c r="K17" s="181">
        <v>19</v>
      </c>
      <c r="L17" s="186">
        <v>144.49</v>
      </c>
      <c r="M17" s="187">
        <v>2.0720000000000001</v>
      </c>
      <c r="N17" s="188">
        <v>1.379</v>
      </c>
      <c r="O17" s="189">
        <f t="shared" si="0"/>
        <v>701.19335388424963</v>
      </c>
      <c r="Q17" s="739"/>
      <c r="R17" s="134">
        <v>19</v>
      </c>
      <c r="S17" s="135">
        <v>3.9151690989919295E-2</v>
      </c>
      <c r="T17" s="135">
        <v>1.8660928532737996E-2</v>
      </c>
      <c r="U17" s="135">
        <v>5.2370553320284349E-4</v>
      </c>
      <c r="V17" s="135">
        <v>0.12254902154116082</v>
      </c>
      <c r="W17" s="135">
        <v>4.3678208006002651E-4</v>
      </c>
      <c r="X17" s="136">
        <v>1.8586690529727314</v>
      </c>
      <c r="Y17" s="137">
        <f t="shared" si="1"/>
        <v>9.2345176707252036E-2</v>
      </c>
      <c r="AA17" s="787"/>
      <c r="AB17" s="258">
        <v>19</v>
      </c>
      <c r="AC17" s="292">
        <v>1.1487700338964606E-4</v>
      </c>
      <c r="AD17" s="293">
        <v>-2.5833651598550617E-3</v>
      </c>
      <c r="AE17" s="293">
        <v>-3.0069136279746216E-5</v>
      </c>
      <c r="AF17" s="293">
        <v>8.2549876932176399E-6</v>
      </c>
      <c r="AG17" s="294">
        <v>-3.7628494700820476E-7</v>
      </c>
      <c r="AH17" s="260">
        <f t="shared" si="2"/>
        <v>-1.183314504955357E-3</v>
      </c>
      <c r="AI17" s="126">
        <f t="shared" si="3"/>
        <v>-2.2482975594151782E-2</v>
      </c>
      <c r="AK17" s="790"/>
      <c r="AL17" s="270">
        <v>19</v>
      </c>
      <c r="AM17" s="276">
        <v>-7.9853919921874981E-4</v>
      </c>
      <c r="AN17" s="277">
        <v>5.950166666666666E-5</v>
      </c>
      <c r="AO17" s="277">
        <v>-1.1947833333333335E-6</v>
      </c>
      <c r="AP17" s="277">
        <v>3.7113333333333335E-9</v>
      </c>
      <c r="AQ17" s="278">
        <v>-6.4631666666666668E-13</v>
      </c>
      <c r="AR17" s="260">
        <f t="shared" si="4"/>
        <v>-2.5516867536035798E-20</v>
      </c>
      <c r="AS17" s="126">
        <f t="shared" si="5"/>
        <v>-4.8482048318468016E-19</v>
      </c>
    </row>
    <row r="18" spans="2:45" ht="24" customHeight="1" x14ac:dyDescent="0.25">
      <c r="B18" s="768"/>
      <c r="C18" s="494">
        <v>26</v>
      </c>
      <c r="D18" s="419">
        <v>0.01</v>
      </c>
      <c r="E18" s="420">
        <v>3.4443808411203399E-8</v>
      </c>
      <c r="F18" s="421">
        <v>2.2053376776478877</v>
      </c>
      <c r="G18" s="347">
        <f t="shared" si="6"/>
        <v>0.98113560996571514</v>
      </c>
      <c r="H18" s="124">
        <f t="shared" si="7"/>
        <v>25.509525859108592</v>
      </c>
      <c r="J18" s="767"/>
      <c r="K18" s="185">
        <v>26</v>
      </c>
      <c r="L18" s="186">
        <v>113.53</v>
      </c>
      <c r="M18" s="187">
        <v>2.0720000000000001</v>
      </c>
      <c r="N18" s="188">
        <v>1.379</v>
      </c>
      <c r="O18" s="189">
        <f t="shared" si="0"/>
        <v>550.94803423405676</v>
      </c>
      <c r="Q18" s="739"/>
      <c r="R18" s="134">
        <v>26</v>
      </c>
      <c r="S18" s="135">
        <v>6.4046605406962442E-2</v>
      </c>
      <c r="T18" s="135">
        <v>1.5722671234822773E-2</v>
      </c>
      <c r="U18" s="135">
        <v>5.5410444035713425E-4</v>
      </c>
      <c r="V18" s="135">
        <v>9.6846829945429605E-2</v>
      </c>
      <c r="W18" s="135">
        <v>4.5681728937560788E-4</v>
      </c>
      <c r="X18" s="136">
        <v>1.8129893869729738</v>
      </c>
      <c r="Y18" s="137">
        <f t="shared" si="1"/>
        <v>0.12676416682131722</v>
      </c>
      <c r="AA18" s="787"/>
      <c r="AB18" s="258">
        <v>26</v>
      </c>
      <c r="AC18" s="292">
        <v>1.5720010990162095E-4</v>
      </c>
      <c r="AD18" s="293">
        <v>-3.5351312713806111E-3</v>
      </c>
      <c r="AE18" s="293">
        <v>-4.1147239119652712E-5</v>
      </c>
      <c r="AF18" s="293">
        <v>1.1296298948613612E-5</v>
      </c>
      <c r="AG18" s="294">
        <v>-5.149162432743854E-7</v>
      </c>
      <c r="AH18" s="260">
        <f t="shared" si="2"/>
        <v>-1.6192724804652259E-3</v>
      </c>
      <c r="AI18" s="126">
        <f t="shared" si="3"/>
        <v>-4.2101084492095875E-2</v>
      </c>
      <c r="AK18" s="790"/>
      <c r="AL18" s="270">
        <v>26</v>
      </c>
      <c r="AM18" s="276">
        <v>-1.0927378515624999E-3</v>
      </c>
      <c r="AN18" s="277">
        <v>8.142333333333333E-5</v>
      </c>
      <c r="AO18" s="277">
        <v>-1.6349666666666668E-6</v>
      </c>
      <c r="AP18" s="277">
        <v>5.0786666666666669E-9</v>
      </c>
      <c r="AQ18" s="278">
        <v>-8.8443333333333324E-13</v>
      </c>
      <c r="AR18" s="260">
        <f t="shared" si="4"/>
        <v>-5.2727800966580196E-20</v>
      </c>
      <c r="AS18" s="126">
        <f t="shared" si="5"/>
        <v>-1.3709228251310851E-18</v>
      </c>
    </row>
    <row r="19" spans="2:45" ht="24" customHeight="1" x14ac:dyDescent="0.25">
      <c r="B19" s="768"/>
      <c r="C19" s="494">
        <v>40</v>
      </c>
      <c r="D19" s="419">
        <v>0.01</v>
      </c>
      <c r="E19" s="420">
        <v>2.4999999999999999E-7</v>
      </c>
      <c r="F19" s="421">
        <v>2</v>
      </c>
      <c r="G19" s="347">
        <f t="shared" si="6"/>
        <v>0.94117647058823528</v>
      </c>
      <c r="H19" s="124">
        <f t="shared" si="7"/>
        <v>37.647058823529413</v>
      </c>
      <c r="J19" s="767"/>
      <c r="K19" s="185">
        <v>40</v>
      </c>
      <c r="L19" s="186">
        <v>113.53</v>
      </c>
      <c r="M19" s="187">
        <v>2.0720000000000001</v>
      </c>
      <c r="N19" s="188">
        <v>1.379</v>
      </c>
      <c r="O19" s="189">
        <f t="shared" si="0"/>
        <v>550.94803423405676</v>
      </c>
      <c r="Q19" s="739"/>
      <c r="R19" s="134">
        <v>40</v>
      </c>
      <c r="S19" s="135">
        <v>4.9271557113764554E-2</v>
      </c>
      <c r="T19" s="135">
        <v>1.4432695403787913E-2</v>
      </c>
      <c r="U19" s="135">
        <v>5.8323983230790992E-4</v>
      </c>
      <c r="V19" s="135">
        <v>7.861758601452451E-2</v>
      </c>
      <c r="W19" s="135">
        <v>4.5785363964993234E-4</v>
      </c>
      <c r="X19" s="136">
        <v>1.6256882384884468</v>
      </c>
      <c r="Y19" s="137">
        <f t="shared" si="1"/>
        <v>0.195910934374599</v>
      </c>
      <c r="AA19" s="787"/>
      <c r="AB19" s="258">
        <v>40</v>
      </c>
      <c r="AC19" s="292">
        <v>2.4184632292557071E-4</v>
      </c>
      <c r="AD19" s="293">
        <v>-5.4386634944317089E-3</v>
      </c>
      <c r="AE19" s="293">
        <v>-6.3303444799465706E-5</v>
      </c>
      <c r="AF19" s="293">
        <v>1.7378921459405559E-5</v>
      </c>
      <c r="AG19" s="294">
        <v>-7.9217883580674679E-7</v>
      </c>
      <c r="AH19" s="260">
        <f t="shared" si="2"/>
        <v>-2.491188431484962E-3</v>
      </c>
      <c r="AI19" s="126">
        <f t="shared" si="3"/>
        <v>-9.9647537259398483E-2</v>
      </c>
      <c r="AK19" s="790"/>
      <c r="AL19" s="270">
        <v>40</v>
      </c>
      <c r="AM19" s="276">
        <v>-1.6811351562499995E-3</v>
      </c>
      <c r="AN19" s="277">
        <v>1.2526666666666666E-4</v>
      </c>
      <c r="AO19" s="277">
        <v>-2.5153333333333333E-6</v>
      </c>
      <c r="AP19" s="277">
        <v>7.8133333333333328E-9</v>
      </c>
      <c r="AQ19" s="278">
        <v>-1.3606666666666665E-12</v>
      </c>
      <c r="AR19" s="260">
        <f t="shared" si="4"/>
        <v>9.6138239513363088E-20</v>
      </c>
      <c r="AS19" s="126">
        <f t="shared" si="5"/>
        <v>3.8455295805345235E-18</v>
      </c>
    </row>
    <row r="20" spans="2:45" ht="24" customHeight="1" x14ac:dyDescent="0.25">
      <c r="B20" s="768"/>
      <c r="C20" s="494">
        <v>60</v>
      </c>
      <c r="D20" s="419">
        <v>0.01</v>
      </c>
      <c r="E20" s="420">
        <v>5.917159763313609E-7</v>
      </c>
      <c r="F20" s="421">
        <v>2</v>
      </c>
      <c r="G20" s="347">
        <f t="shared" si="6"/>
        <v>0.87113402061855671</v>
      </c>
      <c r="H20" s="124">
        <f t="shared" si="7"/>
        <v>52.268041237113401</v>
      </c>
      <c r="J20" s="767"/>
      <c r="K20" s="197">
        <v>60</v>
      </c>
      <c r="L20" s="186">
        <v>113.53</v>
      </c>
      <c r="M20" s="187">
        <v>2.0720000000000001</v>
      </c>
      <c r="N20" s="188">
        <v>1.379</v>
      </c>
      <c r="O20" s="189">
        <f t="shared" si="0"/>
        <v>550.94803423405676</v>
      </c>
      <c r="Q20" s="739"/>
      <c r="R20" s="134">
        <v>60</v>
      </c>
      <c r="S20" s="135">
        <v>3.5888902828607246E-2</v>
      </c>
      <c r="T20" s="135">
        <v>1.8617801892599806E-2</v>
      </c>
      <c r="U20" s="135">
        <v>6.2009471861421497E-4</v>
      </c>
      <c r="V20" s="135">
        <v>6.3411281805225275E-2</v>
      </c>
      <c r="W20" s="135">
        <v>4.8970454353600287E-4</v>
      </c>
      <c r="X20" s="136">
        <v>1.6298586706784275</v>
      </c>
      <c r="Y20" s="137">
        <f t="shared" si="1"/>
        <v>0.2886474454327006</v>
      </c>
      <c r="AA20" s="787"/>
      <c r="AB20" s="621">
        <v>60</v>
      </c>
      <c r="AC20" s="622">
        <v>3.6276948438835601E-4</v>
      </c>
      <c r="AD20" s="301">
        <v>-8.1579952416475626E-3</v>
      </c>
      <c r="AE20" s="301">
        <v>-9.4955167199198566E-5</v>
      </c>
      <c r="AF20" s="301">
        <v>2.6068382189108335E-5</v>
      </c>
      <c r="AG20" s="302">
        <v>-1.1882682537101203E-6</v>
      </c>
      <c r="AH20" s="260">
        <f t="shared" si="2"/>
        <v>-3.7367826472274432E-3</v>
      </c>
      <c r="AI20" s="262">
        <f t="shared" si="3"/>
        <v>-0.22420695883364658</v>
      </c>
      <c r="AK20" s="790"/>
      <c r="AL20" s="623">
        <v>60</v>
      </c>
      <c r="AM20" s="279">
        <v>-2.5217027343749994E-3</v>
      </c>
      <c r="AN20" s="289">
        <v>1.8789999999999999E-4</v>
      </c>
      <c r="AO20" s="289">
        <v>-3.7730000000000001E-6</v>
      </c>
      <c r="AP20" s="289">
        <v>1.172E-8</v>
      </c>
      <c r="AQ20" s="281">
        <v>-2.0409999999999999E-12</v>
      </c>
      <c r="AR20" s="261">
        <f t="shared" si="4"/>
        <v>2.2128735747018596E-20</v>
      </c>
      <c r="AS20" s="262">
        <f t="shared" si="5"/>
        <v>1.3277241448211158E-18</v>
      </c>
    </row>
    <row r="21" spans="2:45" ht="24" customHeight="1" thickBot="1" x14ac:dyDescent="0.3">
      <c r="B21" s="768"/>
      <c r="C21" s="496">
        <v>75</v>
      </c>
      <c r="D21" s="427">
        <v>0.01</v>
      </c>
      <c r="E21" s="428">
        <v>9.9999999999999995E-7</v>
      </c>
      <c r="F21" s="429">
        <v>2</v>
      </c>
      <c r="G21" s="129">
        <f t="shared" si="6"/>
        <v>0.8</v>
      </c>
      <c r="H21" s="127">
        <f t="shared" si="7"/>
        <v>60</v>
      </c>
      <c r="J21" s="767"/>
      <c r="K21" s="197">
        <v>75</v>
      </c>
      <c r="L21" s="198">
        <v>113.53</v>
      </c>
      <c r="M21" s="199">
        <v>2.0720000000000001</v>
      </c>
      <c r="N21" s="200">
        <v>1.379</v>
      </c>
      <c r="O21" s="191">
        <f t="shared" si="0"/>
        <v>550.94803423405676</v>
      </c>
      <c r="Q21" s="739"/>
      <c r="R21" s="142">
        <v>75</v>
      </c>
      <c r="S21" s="143">
        <v>3.9104161828793504E-2</v>
      </c>
      <c r="T21" s="143">
        <v>1.531673404653206E-2</v>
      </c>
      <c r="U21" s="135">
        <v>6.4418371137292053E-4</v>
      </c>
      <c r="V21" s="143">
        <v>5.4673102089141223E-2</v>
      </c>
      <c r="W21" s="135">
        <v>5.1394132359918485E-4</v>
      </c>
      <c r="X21" s="144">
        <v>1.437267798475609</v>
      </c>
      <c r="Y21" s="145">
        <f t="shared" si="1"/>
        <v>0.34957831802675066</v>
      </c>
      <c r="AA21" s="788"/>
      <c r="AB21" s="256">
        <v>75</v>
      </c>
      <c r="AC21" s="295">
        <v>1.2999999999999999E-3</v>
      </c>
      <c r="AD21" s="296">
        <v>-1.3299999999999999E-2</v>
      </c>
      <c r="AE21" s="296">
        <v>3.0000000000000001E-6</v>
      </c>
      <c r="AF21" s="296">
        <v>-3E-10</v>
      </c>
      <c r="AG21" s="298">
        <v>7.0000000000000001E-15</v>
      </c>
      <c r="AH21" s="264">
        <f t="shared" si="2"/>
        <v>-5.3492500374995623E-3</v>
      </c>
      <c r="AI21" s="125">
        <f t="shared" si="3"/>
        <v>-0.40119375281246716</v>
      </c>
      <c r="AK21" s="791"/>
      <c r="AL21" s="267">
        <v>75</v>
      </c>
      <c r="AM21" s="284">
        <v>-2.8999999999999998E-3</v>
      </c>
      <c r="AN21" s="280">
        <v>2.1000000000000001E-4</v>
      </c>
      <c r="AO21" s="280">
        <v>-3.8500000000000004E-6</v>
      </c>
      <c r="AP21" s="280">
        <v>1.07E-8</v>
      </c>
      <c r="AQ21" s="285">
        <v>-9E-13</v>
      </c>
      <c r="AR21" s="264">
        <f t="shared" si="4"/>
        <v>1.1058593750000012E-4</v>
      </c>
      <c r="AS21" s="127">
        <f t="shared" si="5"/>
        <v>8.293945312500009E-3</v>
      </c>
    </row>
    <row r="22" spans="2:45" ht="24" customHeight="1" thickBot="1" x14ac:dyDescent="0.3">
      <c r="B22" s="709"/>
      <c r="C22" s="495">
        <v>90</v>
      </c>
      <c r="D22" s="430">
        <v>0.01</v>
      </c>
      <c r="E22" s="423">
        <v>3.8847000000000003E-6</v>
      </c>
      <c r="F22" s="424">
        <v>1.819</v>
      </c>
      <c r="G22" s="557">
        <f t="shared" si="6"/>
        <v>0.67641057907466784</v>
      </c>
      <c r="H22" s="125">
        <f t="shared" si="7"/>
        <v>60.876952116720105</v>
      </c>
      <c r="J22" s="755"/>
      <c r="K22" s="190">
        <v>90</v>
      </c>
      <c r="L22" s="201">
        <v>113.53</v>
      </c>
      <c r="M22" s="202">
        <v>2.0720000000000001</v>
      </c>
      <c r="N22" s="203">
        <v>1.379</v>
      </c>
      <c r="O22" s="204">
        <f t="shared" si="0"/>
        <v>550.94803423405676</v>
      </c>
      <c r="Q22" s="740"/>
      <c r="R22" s="138">
        <v>90</v>
      </c>
      <c r="S22" s="146">
        <v>2.1260000000000001E-2</v>
      </c>
      <c r="T22" s="139">
        <v>1.3899999999999999E-2</v>
      </c>
      <c r="U22" s="147">
        <v>2.1440000000000001E-4</v>
      </c>
      <c r="V22" s="139">
        <v>2.3650000000000001E-2</v>
      </c>
      <c r="W22" s="147">
        <v>1.8430000000000001E-4</v>
      </c>
      <c r="X22" s="140">
        <v>1.2589999999999999</v>
      </c>
      <c r="Y22" s="352">
        <f t="shared" si="1"/>
        <v>0.39041396232046732</v>
      </c>
      <c r="AA22" s="793" t="s">
        <v>65</v>
      </c>
      <c r="AB22" s="250">
        <v>26</v>
      </c>
      <c r="AC22" s="253">
        <v>1E-13</v>
      </c>
      <c r="AD22" s="254">
        <v>3.5200000000000002E-2</v>
      </c>
      <c r="AE22" s="254">
        <v>6.0000000000000002E-6</v>
      </c>
      <c r="AF22" s="254">
        <v>-4.0000000000000001E-10</v>
      </c>
      <c r="AG22" s="255">
        <v>8.0000000000000006E-15</v>
      </c>
      <c r="AH22" s="264">
        <f t="shared" si="2"/>
        <v>1.7601499950100501E-2</v>
      </c>
      <c r="AI22" s="125">
        <f t="shared" si="3"/>
        <v>0.45763899870261304</v>
      </c>
      <c r="AK22" s="772" t="s">
        <v>65</v>
      </c>
      <c r="AL22" s="271">
        <v>26</v>
      </c>
      <c r="AM22" s="286">
        <v>-3.7330000000000002E-4</v>
      </c>
      <c r="AN22" s="287">
        <v>4.0040000000000003E-5</v>
      </c>
      <c r="AO22" s="287">
        <v>-2.6910000000000002E-6</v>
      </c>
      <c r="AP22" s="287">
        <v>1.2380000000000001E-8</v>
      </c>
      <c r="AQ22" s="288">
        <v>-1.168E-11</v>
      </c>
      <c r="AR22" s="259">
        <f>IF(OR(AN$6&lt;-60,AN$6&gt;200),"out of range",IF($AN$6="","",AM22+AN22*$AN$6+AO22*$AN$6^2+AP22*$AN$6^3+AQ22*$AN$6^4))</f>
        <v>-8.6529999999999984E-4</v>
      </c>
      <c r="AS22" s="123">
        <f t="shared" ref="AS22:AS24" si="8">IF(OR(AN$6&lt;-60,AN$6&gt;200),"out of range",IF($AN$6="","",AR22*AL22))</f>
        <v>-2.2497799999999995E-2</v>
      </c>
    </row>
    <row r="23" spans="2:45" ht="24" customHeight="1" thickBot="1" x14ac:dyDescent="0.3">
      <c r="B23" s="705" t="s">
        <v>65</v>
      </c>
      <c r="C23" s="659">
        <v>26</v>
      </c>
      <c r="D23" s="660">
        <v>0.01</v>
      </c>
      <c r="E23" s="420">
        <v>7.3799999999999999E-8</v>
      </c>
      <c r="F23" s="661">
        <v>2.11</v>
      </c>
      <c r="G23" s="662">
        <f t="shared" si="6"/>
        <v>0.97241118687839423</v>
      </c>
      <c r="H23" s="124">
        <f t="shared" si="7"/>
        <v>25.282690858838251</v>
      </c>
      <c r="J23" s="766" t="s">
        <v>65</v>
      </c>
      <c r="K23" s="192">
        <v>26</v>
      </c>
      <c r="L23" s="218">
        <v>13.99026521323197</v>
      </c>
      <c r="M23" s="182">
        <v>1.6020000000000001</v>
      </c>
      <c r="N23" s="229">
        <v>1.3849295390589271</v>
      </c>
      <c r="O23" s="189">
        <f t="shared" si="0"/>
        <v>205.91359721998987</v>
      </c>
      <c r="Q23" s="737" t="s">
        <v>65</v>
      </c>
      <c r="R23" s="666">
        <v>26</v>
      </c>
      <c r="S23" s="367">
        <v>2.1669999999999998E-2</v>
      </c>
      <c r="T23" s="367">
        <v>1.082E-2</v>
      </c>
      <c r="U23" s="367">
        <v>1.351E-4</v>
      </c>
      <c r="V23" s="367">
        <v>3.1870000000000002E-2</v>
      </c>
      <c r="W23" s="367">
        <v>1.136E-4</v>
      </c>
      <c r="X23" s="667">
        <v>1.77</v>
      </c>
      <c r="Y23" s="668">
        <f t="shared" si="1"/>
        <v>0.12791184024500449</v>
      </c>
      <c r="AA23" s="787"/>
      <c r="AB23" s="251">
        <v>40</v>
      </c>
      <c r="AC23" s="292">
        <v>1E-13</v>
      </c>
      <c r="AD23" s="293">
        <v>-2.87E-2</v>
      </c>
      <c r="AE23" s="293">
        <v>5.0000000000000004E-6</v>
      </c>
      <c r="AF23" s="293">
        <v>-3E-10</v>
      </c>
      <c r="AG23" s="294">
        <v>7.0000000000000001E-15</v>
      </c>
      <c r="AH23" s="264">
        <f t="shared" si="2"/>
        <v>-1.4348750037399563E-2</v>
      </c>
      <c r="AI23" s="125">
        <f t="shared" si="3"/>
        <v>-0.57395000149598252</v>
      </c>
      <c r="AK23" s="773"/>
      <c r="AL23" s="272">
        <v>40</v>
      </c>
      <c r="AM23" s="273">
        <v>1.4893088600000001E-4</v>
      </c>
      <c r="AN23" s="548">
        <v>6.3374344999999997E-5</v>
      </c>
      <c r="AO23" s="548">
        <v>3.8903120000000002E-6</v>
      </c>
      <c r="AP23" s="274">
        <v>1.8462E-8</v>
      </c>
      <c r="AQ23" s="620">
        <v>-1.9999999999999999E-11</v>
      </c>
      <c r="AR23" s="263">
        <f t="shared" si="4"/>
        <v>4.4453907609999996E-3</v>
      </c>
      <c r="AS23" s="126">
        <f t="shared" si="8"/>
        <v>0.17781563043999998</v>
      </c>
    </row>
    <row r="24" spans="2:45" ht="24" customHeight="1" thickBot="1" x14ac:dyDescent="0.3">
      <c r="B24" s="706"/>
      <c r="C24" s="663">
        <v>40</v>
      </c>
      <c r="D24" s="660">
        <v>0.01</v>
      </c>
      <c r="E24" s="420">
        <v>4.9399999999999995E-7</v>
      </c>
      <c r="F24" s="661">
        <v>1.92</v>
      </c>
      <c r="G24" s="662">
        <f t="shared" si="6"/>
        <v>0.91716798191321736</v>
      </c>
      <c r="H24" s="124">
        <f t="shared" si="7"/>
        <v>36.686719276528692</v>
      </c>
      <c r="J24" s="749"/>
      <c r="K24" s="185">
        <v>40</v>
      </c>
      <c r="L24" s="218">
        <v>13.99026521323197</v>
      </c>
      <c r="M24" s="182">
        <v>1.6020000000000001</v>
      </c>
      <c r="N24" s="229">
        <v>1.3849295390589271</v>
      </c>
      <c r="O24" s="189">
        <f t="shared" si="0"/>
        <v>205.91359721998987</v>
      </c>
      <c r="Q24" s="735"/>
      <c r="R24" s="669">
        <v>40</v>
      </c>
      <c r="S24" s="367">
        <v>2.664E-2</v>
      </c>
      <c r="T24" s="367">
        <v>0.01</v>
      </c>
      <c r="U24" s="367">
        <v>1.505E-4</v>
      </c>
      <c r="V24" s="367">
        <v>2.7349999999999999E-2</v>
      </c>
      <c r="W24" s="367">
        <v>1.239E-4</v>
      </c>
      <c r="X24" s="667">
        <v>1.504</v>
      </c>
      <c r="Y24" s="668">
        <f t="shared" si="1"/>
        <v>0.19499822462079341</v>
      </c>
      <c r="AA24" s="794"/>
      <c r="AB24" s="256">
        <v>60</v>
      </c>
      <c r="AC24" s="654">
        <v>1E-13</v>
      </c>
      <c r="AD24" s="655">
        <v>-3.2500000000000001E-2</v>
      </c>
      <c r="AE24" s="655">
        <v>5.0000000000000004E-6</v>
      </c>
      <c r="AF24" s="655">
        <v>-3E-10</v>
      </c>
      <c r="AG24" s="656">
        <v>8.0000000000000006E-15</v>
      </c>
      <c r="AH24" s="658">
        <f t="shared" si="2"/>
        <v>-1.6248750037399499E-2</v>
      </c>
      <c r="AI24" s="125">
        <f t="shared" si="3"/>
        <v>-0.97492500224396994</v>
      </c>
      <c r="AK24" s="774"/>
      <c r="AL24" s="266">
        <v>60</v>
      </c>
      <c r="AM24" s="549">
        <v>-3.7330000000000002E-4</v>
      </c>
      <c r="AN24" s="289">
        <v>4.0040000000000003E-5</v>
      </c>
      <c r="AO24" s="289">
        <v>-2.6910000000000002E-6</v>
      </c>
      <c r="AP24" s="277">
        <v>1.2380000000000001E-8</v>
      </c>
      <c r="AQ24" s="281">
        <v>-1.168E-11</v>
      </c>
      <c r="AR24" s="657">
        <f t="shared" si="4"/>
        <v>-8.6529999999999984E-4</v>
      </c>
      <c r="AS24" s="126">
        <f t="shared" si="8"/>
        <v>-5.1917999999999992E-2</v>
      </c>
    </row>
    <row r="25" spans="2:45" ht="24" customHeight="1" thickBot="1" x14ac:dyDescent="0.3">
      <c r="B25" s="707"/>
      <c r="C25" s="664">
        <v>60</v>
      </c>
      <c r="D25" s="660">
        <v>0.01</v>
      </c>
      <c r="E25" s="420">
        <v>6.9444444444444448E-7</v>
      </c>
      <c r="F25" s="661">
        <v>2</v>
      </c>
      <c r="G25" s="662">
        <f t="shared" si="6"/>
        <v>0.85207100591715967</v>
      </c>
      <c r="H25" s="124">
        <f t="shared" si="7"/>
        <v>51.124260355029577</v>
      </c>
      <c r="J25" s="750"/>
      <c r="K25" s="190">
        <v>60</v>
      </c>
      <c r="L25" s="218">
        <v>8.8847065286659213</v>
      </c>
      <c r="M25" s="182">
        <v>1.6020000000000001</v>
      </c>
      <c r="N25" s="229">
        <v>1.4433531030987523</v>
      </c>
      <c r="O25" s="189">
        <f t="shared" si="0"/>
        <v>171.13911954905706</v>
      </c>
      <c r="Q25" s="736"/>
      <c r="R25" s="670">
        <v>60</v>
      </c>
      <c r="S25" s="367">
        <v>3.7850000000000002E-2</v>
      </c>
      <c r="T25" s="367">
        <v>1.4239999999999999E-2</v>
      </c>
      <c r="U25" s="367">
        <v>6.0780000000000003E-4</v>
      </c>
      <c r="V25" s="367">
        <v>6.1089999999999998E-2</v>
      </c>
      <c r="W25" s="367">
        <v>5.442E-4</v>
      </c>
      <c r="X25" s="667">
        <v>1.4710000000000001</v>
      </c>
      <c r="Y25" s="668">
        <f t="shared" si="1"/>
        <v>0.27823242685146077</v>
      </c>
      <c r="AA25" s="769" t="s">
        <v>27</v>
      </c>
      <c r="AB25" s="611">
        <v>26</v>
      </c>
      <c r="AC25" s="391">
        <v>0</v>
      </c>
      <c r="AD25" s="299">
        <v>-4.3709999999999999E-3</v>
      </c>
      <c r="AE25" s="299">
        <v>3.0949999999999999E-4</v>
      </c>
      <c r="AF25" s="299">
        <v>-1.344E-5</v>
      </c>
      <c r="AG25" s="300">
        <v>0</v>
      </c>
      <c r="AH25" s="260">
        <f t="shared" si="2"/>
        <v>-2.1098049999999998E-3</v>
      </c>
      <c r="AI25" s="126">
        <f t="shared" si="3"/>
        <v>-5.4854929999999996E-2</v>
      </c>
      <c r="AK25" s="772" t="s">
        <v>27</v>
      </c>
      <c r="AL25" s="271">
        <v>26</v>
      </c>
      <c r="AM25" s="286">
        <v>-2.2680000000000001E-3</v>
      </c>
      <c r="AN25" s="287">
        <v>1.373E-4</v>
      </c>
      <c r="AO25" s="287">
        <v>-2.0549999999999998E-6</v>
      </c>
      <c r="AP25" s="287">
        <v>1.755E-9</v>
      </c>
      <c r="AQ25" s="288">
        <v>1.316E-11</v>
      </c>
      <c r="AR25" s="259">
        <f t="shared" si="4"/>
        <v>-8.7312499999999757E-5</v>
      </c>
      <c r="AS25" s="123">
        <f t="shared" si="5"/>
        <v>-2.2701249999999935E-3</v>
      </c>
    </row>
    <row r="26" spans="2:45" ht="24" customHeight="1" x14ac:dyDescent="0.25">
      <c r="B26" s="705" t="s">
        <v>27</v>
      </c>
      <c r="C26" s="494">
        <v>26</v>
      </c>
      <c r="D26" s="419">
        <v>0.01</v>
      </c>
      <c r="E26" s="420">
        <v>3.5556495804772707E-8</v>
      </c>
      <c r="F26" s="421">
        <v>2.2129164542922259</v>
      </c>
      <c r="G26" s="556">
        <f t="shared" si="6"/>
        <v>0.97996414783314123</v>
      </c>
      <c r="H26" s="124">
        <f t="shared" si="7"/>
        <v>25.479067843661671</v>
      </c>
      <c r="J26" s="766" t="s">
        <v>27</v>
      </c>
      <c r="K26" s="181">
        <v>26</v>
      </c>
      <c r="L26" s="205">
        <v>26.41</v>
      </c>
      <c r="M26" s="182">
        <v>1.6020000000000001</v>
      </c>
      <c r="N26" s="195">
        <v>1.3939999999999999</v>
      </c>
      <c r="O26" s="184">
        <f t="shared" si="0"/>
        <v>405.29234515729382</v>
      </c>
      <c r="Q26" s="737" t="s">
        <v>27</v>
      </c>
      <c r="R26" s="134">
        <v>26</v>
      </c>
      <c r="S26" s="366">
        <v>6.6661972960486301E-2</v>
      </c>
      <c r="T26" s="370">
        <v>1.6059519096468605E-2</v>
      </c>
      <c r="U26" s="370">
        <v>4.7493534753012794E-4</v>
      </c>
      <c r="V26" s="370">
        <v>8.1475007267358054E-2</v>
      </c>
      <c r="W26" s="370">
        <v>4.0212434757576625E-4</v>
      </c>
      <c r="X26" s="368">
        <v>1.9045453023178285</v>
      </c>
      <c r="Y26" s="155">
        <f t="shared" si="1"/>
        <v>0.12697178044250509</v>
      </c>
      <c r="AA26" s="770"/>
      <c r="AB26" s="610">
        <v>40</v>
      </c>
      <c r="AC26" s="618">
        <v>0</v>
      </c>
      <c r="AD26" s="619">
        <v>-6.0000000000000001E-3</v>
      </c>
      <c r="AE26" s="619">
        <v>2.7500000000000002E-4</v>
      </c>
      <c r="AF26" s="619">
        <v>-6.0000000000000002E-6</v>
      </c>
      <c r="AG26" s="300">
        <v>0</v>
      </c>
      <c r="AH26" s="260">
        <f t="shared" si="2"/>
        <v>-2.9320000000000001E-3</v>
      </c>
      <c r="AI26" s="126">
        <f t="shared" si="3"/>
        <v>-0.11728000000000001</v>
      </c>
      <c r="AK26" s="773"/>
      <c r="AL26" s="272">
        <v>40</v>
      </c>
      <c r="AM26" s="273">
        <v>-2.8E-3</v>
      </c>
      <c r="AN26" s="548">
        <v>2.3499999999999999E-4</v>
      </c>
      <c r="AO26" s="548">
        <v>-3.9999999999999998E-6</v>
      </c>
      <c r="AP26" s="274">
        <v>1.125E-8</v>
      </c>
      <c r="AQ26" s="620">
        <v>-3.9999999999999999E-12</v>
      </c>
      <c r="AR26" s="260">
        <f t="shared" si="4"/>
        <v>7.4921874999999988E-4</v>
      </c>
      <c r="AS26" s="126">
        <f t="shared" si="5"/>
        <v>2.9968749999999995E-2</v>
      </c>
    </row>
    <row r="27" spans="2:45" ht="24" customHeight="1" x14ac:dyDescent="0.25">
      <c r="B27" s="706"/>
      <c r="C27" s="494">
        <v>40</v>
      </c>
      <c r="D27" s="419">
        <v>0.01</v>
      </c>
      <c r="E27" s="420">
        <v>1.2819037670552082E-7</v>
      </c>
      <c r="F27" s="421">
        <v>2.1692033069864087</v>
      </c>
      <c r="G27" s="347">
        <f t="shared" si="6"/>
        <v>0.94150872038740629</v>
      </c>
      <c r="H27" s="124">
        <f t="shared" si="7"/>
        <v>37.660348815496249</v>
      </c>
      <c r="J27" s="749"/>
      <c r="K27" s="636">
        <v>40</v>
      </c>
      <c r="L27" s="214">
        <v>49.54</v>
      </c>
      <c r="M27" s="187">
        <v>1.6020000000000001</v>
      </c>
      <c r="N27" s="206">
        <v>1.2090000000000001</v>
      </c>
      <c r="O27" s="189">
        <f t="shared" si="0"/>
        <v>324.30676063292844</v>
      </c>
      <c r="Q27" s="735"/>
      <c r="R27" s="134">
        <v>40</v>
      </c>
      <c r="S27" s="355">
        <v>6.9762151510055007E-2</v>
      </c>
      <c r="T27" s="156">
        <v>1.48403593240085E-2</v>
      </c>
      <c r="U27" s="156">
        <v>5.131575079801719E-4</v>
      </c>
      <c r="V27" s="156">
        <v>6.2913702279067563E-2</v>
      </c>
      <c r="W27" s="156">
        <v>4.3993505698437709E-4</v>
      </c>
      <c r="X27" s="369">
        <v>1.7725363033258221</v>
      </c>
      <c r="Y27" s="145">
        <f t="shared" si="1"/>
        <v>0.19648924084149694</v>
      </c>
      <c r="AA27" s="770"/>
      <c r="AB27" s="251">
        <v>60</v>
      </c>
      <c r="AC27" s="392">
        <v>0</v>
      </c>
      <c r="AD27" s="301">
        <v>-9.1791000000000008E-3</v>
      </c>
      <c r="AE27" s="301">
        <v>6.4994999999999994E-4</v>
      </c>
      <c r="AF27" s="301">
        <v>-2.8223999999999999E-5</v>
      </c>
      <c r="AG27" s="303">
        <v>0</v>
      </c>
      <c r="AH27" s="260">
        <f t="shared" si="2"/>
        <v>-4.4305905000000005E-3</v>
      </c>
      <c r="AI27" s="126">
        <f t="shared" si="3"/>
        <v>-0.26583543000000004</v>
      </c>
      <c r="AK27" s="773"/>
      <c r="AL27" s="266">
        <v>60</v>
      </c>
      <c r="AM27" s="549">
        <v>-5.4409999999999997E-3</v>
      </c>
      <c r="AN27" s="289">
        <v>3.2170000000000001E-4</v>
      </c>
      <c r="AO27" s="289">
        <v>-5.135E-6</v>
      </c>
      <c r="AP27" s="277">
        <v>1.3200000000000001E-8</v>
      </c>
      <c r="AQ27" s="281">
        <v>2.276E-12</v>
      </c>
      <c r="AR27" s="260">
        <f t="shared" si="4"/>
        <v>-4.0073593749999863E-4</v>
      </c>
      <c r="AS27" s="126">
        <f t="shared" si="5"/>
        <v>-2.4044156249999917E-2</v>
      </c>
    </row>
    <row r="28" spans="2:45" ht="24" customHeight="1" thickBot="1" x14ac:dyDescent="0.3">
      <c r="B28" s="706"/>
      <c r="C28" s="496">
        <v>60</v>
      </c>
      <c r="D28" s="431">
        <v>0.01</v>
      </c>
      <c r="E28" s="428">
        <v>4.0643787278589246E-7</v>
      </c>
      <c r="F28" s="429">
        <v>2.1308343922747586</v>
      </c>
      <c r="G28" s="347">
        <f t="shared" si="6"/>
        <v>0.85505251761419854</v>
      </c>
      <c r="H28" s="124">
        <f t="shared" si="7"/>
        <v>51.30315105685191</v>
      </c>
      <c r="J28" s="749"/>
      <c r="K28" s="197">
        <v>60</v>
      </c>
      <c r="L28" s="214">
        <v>49.54</v>
      </c>
      <c r="M28" s="187">
        <v>1.6020000000000001</v>
      </c>
      <c r="N28" s="206">
        <v>1.2090000000000001</v>
      </c>
      <c r="O28" s="189">
        <f t="shared" si="0"/>
        <v>324.30676063292844</v>
      </c>
      <c r="Q28" s="735"/>
      <c r="R28" s="142">
        <v>60</v>
      </c>
      <c r="S28" s="366">
        <v>4.1899793634775431E-2</v>
      </c>
      <c r="T28" s="536">
        <v>1.209963040729117E-2</v>
      </c>
      <c r="U28" s="370">
        <v>6.0694123319763411E-4</v>
      </c>
      <c r="V28" s="373">
        <v>5.7218798493923827E-2</v>
      </c>
      <c r="W28" s="370">
        <v>5.1742310256465819E-4</v>
      </c>
      <c r="X28" s="542">
        <v>1.4374248904869433</v>
      </c>
      <c r="Y28" s="145">
        <f t="shared" si="1"/>
        <v>0.28725021051491173</v>
      </c>
      <c r="AA28" s="771"/>
      <c r="AB28" s="256">
        <v>125</v>
      </c>
      <c r="AC28" s="396">
        <v>0</v>
      </c>
      <c r="AD28" s="296">
        <v>-0.01</v>
      </c>
      <c r="AE28" s="296">
        <v>2.0000000000000001E-4</v>
      </c>
      <c r="AF28" s="296">
        <v>-2.9999999999999997E-8</v>
      </c>
      <c r="AG28" s="550">
        <v>0</v>
      </c>
      <c r="AH28" s="260">
        <f t="shared" si="2"/>
        <v>-4.9500037500000002E-3</v>
      </c>
      <c r="AI28" s="126">
        <f t="shared" si="3"/>
        <v>-0.61875046875000006</v>
      </c>
      <c r="AK28" s="774"/>
      <c r="AL28" s="546">
        <v>125</v>
      </c>
      <c r="AM28" s="547">
        <v>-6.8999999999999999E-3</v>
      </c>
      <c r="AN28" s="280">
        <v>5.0000000000000001E-4</v>
      </c>
      <c r="AO28" s="280">
        <v>-9.3300000000000005E-6</v>
      </c>
      <c r="AP28" s="548">
        <v>2E-8</v>
      </c>
      <c r="AQ28" s="291">
        <v>3E-11</v>
      </c>
      <c r="AR28" s="260">
        <f t="shared" si="4"/>
        <v>9.2968750000000318E-5</v>
      </c>
      <c r="AS28" s="126">
        <f t="shared" si="5"/>
        <v>1.162109375000004E-2</v>
      </c>
    </row>
    <row r="29" spans="2:45" ht="24" customHeight="1" thickBot="1" x14ac:dyDescent="0.3">
      <c r="B29" s="706"/>
      <c r="C29" s="496">
        <v>75</v>
      </c>
      <c r="D29" s="538">
        <v>0.01</v>
      </c>
      <c r="E29" s="428">
        <v>2.1417191961868101E-6</v>
      </c>
      <c r="F29" s="429">
        <v>1.8552832463136577</v>
      </c>
      <c r="G29" s="347">
        <f t="shared" si="6"/>
        <v>0.76688782464875105</v>
      </c>
      <c r="H29" s="124">
        <f t="shared" si="7"/>
        <v>57.516586848656331</v>
      </c>
      <c r="J29" s="749"/>
      <c r="K29" s="197">
        <v>75</v>
      </c>
      <c r="L29" s="218">
        <v>76.10652103969808</v>
      </c>
      <c r="M29" s="182">
        <v>1.6020000000000001</v>
      </c>
      <c r="N29" s="229">
        <v>1.0592584082040235</v>
      </c>
      <c r="O29" s="189">
        <f t="shared" si="0"/>
        <v>249.99923887102958</v>
      </c>
      <c r="Q29" s="735"/>
      <c r="R29" s="142">
        <v>75</v>
      </c>
      <c r="S29" s="366">
        <v>3.2607590504774457E-2</v>
      </c>
      <c r="T29" s="536">
        <v>1.5514272039106828E-2</v>
      </c>
      <c r="U29" s="540">
        <v>6.1543266505242867E-4</v>
      </c>
      <c r="V29" s="373">
        <v>5.5392465647352757E-2</v>
      </c>
      <c r="W29" s="540">
        <v>5.0001958066228571E-4</v>
      </c>
      <c r="X29" s="359">
        <v>1.4096857497942099</v>
      </c>
      <c r="Y29" s="145">
        <f t="shared" si="1"/>
        <v>0.34241250039476356</v>
      </c>
      <c r="AA29" s="786" t="s">
        <v>66</v>
      </c>
      <c r="AB29" s="250">
        <v>26</v>
      </c>
      <c r="AC29" s="253">
        <v>1E-13</v>
      </c>
      <c r="AD29" s="254">
        <v>-3.2199999999999999E-2</v>
      </c>
      <c r="AE29" s="254">
        <v>5.0000000000000004E-6</v>
      </c>
      <c r="AF29" s="254">
        <v>-3E-10</v>
      </c>
      <c r="AG29" s="255">
        <v>8.0000000000000006E-15</v>
      </c>
      <c r="AH29" s="264">
        <f t="shared" ref="AH29:AH30" si="9">IF(AD$6&gt;10,"out of range",IF($AD$6="","",AC29+AD29*$AD$6+AE29*$AD$6^2+AF29*$AD$6^3+AG29*$AD$6^4))</f>
        <v>-1.6098750037399499E-2</v>
      </c>
      <c r="AI29" s="125">
        <f t="shared" ref="AI29:AI30" si="10">IF(AD$6&gt;10,"out of range",IF($AD$6=0,"",AH29*AB29))</f>
        <v>-0.41856750097238699</v>
      </c>
      <c r="AK29" s="772" t="s">
        <v>22</v>
      </c>
      <c r="AL29" s="265">
        <v>19</v>
      </c>
      <c r="AM29" s="286">
        <v>-8.1470000000000002E-4</v>
      </c>
      <c r="AN29" s="287">
        <v>4.3869999999999998E-5</v>
      </c>
      <c r="AO29" s="287">
        <v>-5.9110000000000005E-7</v>
      </c>
      <c r="AP29" s="287">
        <v>3.3670000000000001E-9</v>
      </c>
      <c r="AQ29" s="288">
        <v>-6.5730000000000004E-12</v>
      </c>
      <c r="AR29" s="259">
        <f t="shared" si="4"/>
        <v>-3.7345703124999971E-5</v>
      </c>
      <c r="AS29" s="123">
        <f t="shared" si="5"/>
        <v>-7.0956835937499942E-4</v>
      </c>
    </row>
    <row r="30" spans="2:45" ht="24" customHeight="1" thickBot="1" x14ac:dyDescent="0.3">
      <c r="B30" s="706"/>
      <c r="C30" s="496">
        <v>90</v>
      </c>
      <c r="D30" s="431">
        <v>0.01</v>
      </c>
      <c r="E30" s="428">
        <v>3.8847047797208461E-6</v>
      </c>
      <c r="F30" s="429">
        <v>1.8189496240181691</v>
      </c>
      <c r="G30" s="347">
        <f t="shared" si="6"/>
        <v>0.67645344326836354</v>
      </c>
      <c r="H30" s="124">
        <f t="shared" si="7"/>
        <v>60.880809894152719</v>
      </c>
      <c r="J30" s="750"/>
      <c r="K30" s="190">
        <v>125</v>
      </c>
      <c r="L30" s="218">
        <v>76.092132213123861</v>
      </c>
      <c r="M30" s="182">
        <v>1.6020000000000001</v>
      </c>
      <c r="N30" s="229">
        <v>1.0988907533000489</v>
      </c>
      <c r="O30" s="189">
        <f t="shared" si="0"/>
        <v>300.00000395103854</v>
      </c>
      <c r="Q30" s="735"/>
      <c r="R30" s="142">
        <v>90</v>
      </c>
      <c r="S30" s="539">
        <v>2.7250165608324637E-2</v>
      </c>
      <c r="T30" s="536">
        <v>1.4957297064397853E-2</v>
      </c>
      <c r="U30" s="540">
        <v>2.2450848423141218E-4</v>
      </c>
      <c r="V30" s="373">
        <v>2.4976551335557335E-2</v>
      </c>
      <c r="W30" s="540">
        <v>1.9355798943124255E-4</v>
      </c>
      <c r="X30" s="641">
        <v>1.3134991530154565</v>
      </c>
      <c r="Y30" s="145">
        <f t="shared" si="1"/>
        <v>0.3907902267683615</v>
      </c>
      <c r="AA30" s="794"/>
      <c r="AB30" s="256">
        <v>60</v>
      </c>
      <c r="AC30" s="654">
        <v>1E-13</v>
      </c>
      <c r="AD30" s="655">
        <v>-3.2199999999999999E-2</v>
      </c>
      <c r="AE30" s="655">
        <v>5.0000000000000004E-6</v>
      </c>
      <c r="AF30" s="655">
        <v>-3E-10</v>
      </c>
      <c r="AG30" s="656">
        <v>8.0000000000000006E-15</v>
      </c>
      <c r="AH30" s="658">
        <f t="shared" si="9"/>
        <v>-1.6098750037399499E-2</v>
      </c>
      <c r="AI30" s="125">
        <f t="shared" si="10"/>
        <v>-0.96592500224396993</v>
      </c>
      <c r="AK30" s="773"/>
      <c r="AL30" s="266">
        <v>26</v>
      </c>
      <c r="AM30" s="276">
        <v>-1.9996644067796611E-3</v>
      </c>
      <c r="AN30" s="277">
        <v>8.8871525423728801E-5</v>
      </c>
      <c r="AO30" s="277">
        <v>-6.7917288135593223E-7</v>
      </c>
      <c r="AP30" s="277">
        <v>2.949016949152542E-9</v>
      </c>
      <c r="AQ30" s="278">
        <v>-4.8232203389830515E-12</v>
      </c>
      <c r="AR30" s="260">
        <f t="shared" si="4"/>
        <v>-1.5816500264830563E-4</v>
      </c>
      <c r="AS30" s="126">
        <f t="shared" si="5"/>
        <v>-4.1122900688559463E-3</v>
      </c>
    </row>
    <row r="31" spans="2:45" ht="24" customHeight="1" thickBot="1" x14ac:dyDescent="0.3">
      <c r="B31" s="707"/>
      <c r="C31" s="495">
        <v>125</v>
      </c>
      <c r="D31" s="538">
        <v>0.01</v>
      </c>
      <c r="E31" s="428">
        <v>8.7102601041887193E-6</v>
      </c>
      <c r="F31" s="429">
        <v>1.7582363115735482</v>
      </c>
      <c r="G31" s="128">
        <f t="shared" si="6"/>
        <v>0.54179668814819015</v>
      </c>
      <c r="H31" s="124">
        <f t="shared" si="7"/>
        <v>67.724586018523766</v>
      </c>
      <c r="J31" s="754" t="s">
        <v>15</v>
      </c>
      <c r="K31" s="192">
        <v>26</v>
      </c>
      <c r="L31" s="213">
        <v>271</v>
      </c>
      <c r="M31" s="207">
        <v>2.0310000000000001</v>
      </c>
      <c r="N31" s="208">
        <v>1.44</v>
      </c>
      <c r="O31" s="196">
        <f t="shared" si="0"/>
        <v>1914.1205720526268</v>
      </c>
      <c r="Q31" s="736"/>
      <c r="R31" s="138">
        <v>125</v>
      </c>
      <c r="S31" s="640">
        <v>1.7544284264594357E-2</v>
      </c>
      <c r="T31" s="537">
        <v>1.947924132282278E-2</v>
      </c>
      <c r="U31" s="540">
        <v>7.0686884276514384E-4</v>
      </c>
      <c r="V31" s="537">
        <v>4.8396752261408667E-2</v>
      </c>
      <c r="W31" s="540">
        <v>5.7392503779894505E-4</v>
      </c>
      <c r="X31" s="642">
        <v>1.2438041254394137</v>
      </c>
      <c r="Y31" s="145">
        <f t="shared" si="1"/>
        <v>0.4951077737949261</v>
      </c>
      <c r="AA31" s="769" t="s">
        <v>22</v>
      </c>
      <c r="AB31" s="250">
        <v>19</v>
      </c>
      <c r="AC31" s="253">
        <v>4.4540000000000004E-4</v>
      </c>
      <c r="AD31" s="254">
        <v>-7.9109999999999996E-3</v>
      </c>
      <c r="AE31" s="254">
        <v>-3.405E-3</v>
      </c>
      <c r="AF31" s="254">
        <v>4.2900000000000002E-4</v>
      </c>
      <c r="AG31" s="304">
        <v>-1.7240000000000001E-5</v>
      </c>
      <c r="AH31" s="259">
        <f t="shared" si="2"/>
        <v>-4.3088025000000002E-3</v>
      </c>
      <c r="AI31" s="123">
        <f t="shared" si="3"/>
        <v>-8.1867247500000004E-2</v>
      </c>
      <c r="AK31" s="773"/>
      <c r="AL31" s="266">
        <v>40</v>
      </c>
      <c r="AM31" s="276">
        <v>-3.7230000000000002E-3</v>
      </c>
      <c r="AN31" s="277">
        <v>1.5779999999999999E-4</v>
      </c>
      <c r="AO31" s="277">
        <v>-9.5010000000000002E-7</v>
      </c>
      <c r="AP31" s="277">
        <v>3.325E-9</v>
      </c>
      <c r="AQ31" s="278">
        <v>-4.3720000000000004E-12</v>
      </c>
      <c r="AR31" s="260">
        <f t="shared" si="4"/>
        <v>-3.2156718750000048E-4</v>
      </c>
      <c r="AS31" s="126">
        <f t="shared" si="5"/>
        <v>-1.2862687500000018E-2</v>
      </c>
    </row>
    <row r="32" spans="2:45" ht="24" customHeight="1" x14ac:dyDescent="0.25">
      <c r="B32" s="708" t="s">
        <v>15</v>
      </c>
      <c r="C32" s="535">
        <v>26</v>
      </c>
      <c r="D32" s="444">
        <v>0.01</v>
      </c>
      <c r="E32" s="445">
        <v>5.8221723159236905E-7</v>
      </c>
      <c r="F32" s="418">
        <v>1.6585866683192652</v>
      </c>
      <c r="G32" s="556">
        <f t="shared" si="6"/>
        <v>0.96313115885320189</v>
      </c>
      <c r="H32" s="123">
        <f t="shared" si="7"/>
        <v>25.041410130183248</v>
      </c>
      <c r="J32" s="767"/>
      <c r="K32" s="185">
        <v>40</v>
      </c>
      <c r="L32" s="214">
        <v>309</v>
      </c>
      <c r="M32" s="209">
        <v>2.14</v>
      </c>
      <c r="N32" s="206">
        <v>1.46</v>
      </c>
      <c r="O32" s="189">
        <f t="shared" si="0"/>
        <v>1861.9091209697663</v>
      </c>
      <c r="Q32" s="738" t="s">
        <v>15</v>
      </c>
      <c r="R32" s="541">
        <v>26</v>
      </c>
      <c r="S32" s="173">
        <v>1.0151415024730919E-2</v>
      </c>
      <c r="T32" s="153">
        <v>1.921516209532443E-2</v>
      </c>
      <c r="U32" s="153">
        <v>4.2283440239760371E-4</v>
      </c>
      <c r="V32" s="131">
        <v>9.5567003205791728E-2</v>
      </c>
      <c r="W32" s="153">
        <v>3.0596814649344264E-4</v>
      </c>
      <c r="X32" s="154">
        <v>1.7546901645070103</v>
      </c>
      <c r="Y32" s="155">
        <f t="shared" si="1"/>
        <v>0.12803838453709146</v>
      </c>
      <c r="AA32" s="770"/>
      <c r="AB32" s="251">
        <v>26</v>
      </c>
      <c r="AC32" s="292">
        <v>6.6519999999999991E-4</v>
      </c>
      <c r="AD32" s="293">
        <v>-1.222E-2</v>
      </c>
      <c r="AE32" s="293">
        <v>-2.6019999999999997E-3</v>
      </c>
      <c r="AF32" s="293">
        <v>3.4470000000000003E-4</v>
      </c>
      <c r="AG32" s="294">
        <v>-1.399E-5</v>
      </c>
      <c r="AH32" s="260">
        <f t="shared" si="2"/>
        <v>-6.0530868749999996E-3</v>
      </c>
      <c r="AI32" s="126">
        <f t="shared" si="3"/>
        <v>-0.15738025875</v>
      </c>
      <c r="AK32" s="773"/>
      <c r="AL32" s="266">
        <v>60</v>
      </c>
      <c r="AM32" s="276">
        <v>-5.5845000000000001E-3</v>
      </c>
      <c r="AN32" s="277">
        <v>2.3669999999999998E-4</v>
      </c>
      <c r="AO32" s="277">
        <v>-1.42515E-6</v>
      </c>
      <c r="AP32" s="277">
        <v>4.9875E-9</v>
      </c>
      <c r="AQ32" s="278">
        <v>-6.5580000000000001E-12</v>
      </c>
      <c r="AR32" s="260">
        <f t="shared" si="4"/>
        <v>-4.8235078125000093E-4</v>
      </c>
      <c r="AS32" s="126">
        <f t="shared" si="5"/>
        <v>-2.8941046875000057E-2</v>
      </c>
    </row>
    <row r="33" spans="2:45" ht="24" customHeight="1" thickBot="1" x14ac:dyDescent="0.3">
      <c r="B33" s="768"/>
      <c r="C33" s="494">
        <v>40</v>
      </c>
      <c r="D33" s="419">
        <v>0.01</v>
      </c>
      <c r="E33" s="420">
        <v>1.3584193306853901E-6</v>
      </c>
      <c r="F33" s="421">
        <v>1.6508404646967436</v>
      </c>
      <c r="G33" s="347">
        <f t="shared" si="6"/>
        <v>0.92026057472057665</v>
      </c>
      <c r="H33" s="124">
        <f t="shared" si="7"/>
        <v>36.810422988823063</v>
      </c>
      <c r="J33" s="755"/>
      <c r="K33" s="190">
        <v>60</v>
      </c>
      <c r="L33" s="215">
        <v>251.4</v>
      </c>
      <c r="M33" s="210">
        <v>2.0659999999999998</v>
      </c>
      <c r="N33" s="217">
        <v>1.41</v>
      </c>
      <c r="O33" s="191">
        <f t="shared" si="0"/>
        <v>1426.8071379970902</v>
      </c>
      <c r="Q33" s="739"/>
      <c r="R33" s="134">
        <v>40</v>
      </c>
      <c r="S33" s="135">
        <v>4.8010931325995064E-2</v>
      </c>
      <c r="T33" s="135">
        <v>1.729599263297164E-2</v>
      </c>
      <c r="U33" s="135">
        <v>5.771501064698102E-4</v>
      </c>
      <c r="V33" s="135">
        <v>8.7526982592252001E-2</v>
      </c>
      <c r="W33" s="135">
        <v>4.2156170904897669E-4</v>
      </c>
      <c r="X33" s="136">
        <v>1.6359945000246336</v>
      </c>
      <c r="Y33" s="137">
        <f t="shared" si="1"/>
        <v>0.19343063752930548</v>
      </c>
      <c r="AA33" s="770"/>
      <c r="AB33" s="251">
        <v>40</v>
      </c>
      <c r="AC33" s="292">
        <v>1.4189999999999999E-3</v>
      </c>
      <c r="AD33" s="293">
        <v>-2.699E-2</v>
      </c>
      <c r="AE33" s="293">
        <v>1.5139999999999999E-4</v>
      </c>
      <c r="AF33" s="293">
        <v>5.5630000000000001E-5</v>
      </c>
      <c r="AG33" s="294">
        <v>-2.8439999999999998E-6</v>
      </c>
      <c r="AH33" s="260">
        <f t="shared" si="2"/>
        <v>-1.2031373999999999E-2</v>
      </c>
      <c r="AI33" s="126">
        <f t="shared" si="3"/>
        <v>-0.48125495999999995</v>
      </c>
      <c r="AK33" s="773"/>
      <c r="AL33" s="266">
        <v>75</v>
      </c>
      <c r="AM33" s="276">
        <v>-6.9806250000000007E-3</v>
      </c>
      <c r="AN33" s="277">
        <v>2.9587499999999997E-4</v>
      </c>
      <c r="AO33" s="277">
        <v>-1.7814374999999999E-6</v>
      </c>
      <c r="AP33" s="277">
        <v>6.2343750000000002E-9</v>
      </c>
      <c r="AQ33" s="278">
        <v>-8.197500000000001E-12</v>
      </c>
      <c r="AR33" s="260">
        <f t="shared" si="4"/>
        <v>-6.0293847656250183E-4</v>
      </c>
      <c r="AS33" s="126">
        <f t="shared" si="5"/>
        <v>-4.522038574218764E-2</v>
      </c>
    </row>
    <row r="34" spans="2:45" ht="24" customHeight="1" thickBot="1" x14ac:dyDescent="0.3">
      <c r="B34" s="709"/>
      <c r="C34" s="495">
        <v>60</v>
      </c>
      <c r="D34" s="422">
        <v>0.01</v>
      </c>
      <c r="E34" s="423">
        <v>1.1010311917135724E-6</v>
      </c>
      <c r="F34" s="424">
        <v>1.8189496240181691</v>
      </c>
      <c r="G34" s="128">
        <f t="shared" si="6"/>
        <v>0.8806206189215483</v>
      </c>
      <c r="H34" s="125">
        <f t="shared" si="7"/>
        <v>52.837237135292895</v>
      </c>
      <c r="J34" s="766" t="s">
        <v>22</v>
      </c>
      <c r="K34" s="181">
        <v>19</v>
      </c>
      <c r="L34" s="413">
        <v>509.27</v>
      </c>
      <c r="M34" s="543">
        <v>2.0150000000000001</v>
      </c>
      <c r="N34" s="410">
        <v>1.194</v>
      </c>
      <c r="O34" s="196">
        <f t="shared" si="0"/>
        <v>1202.120749811874</v>
      </c>
      <c r="Q34" s="740"/>
      <c r="R34" s="138">
        <v>60</v>
      </c>
      <c r="S34" s="139">
        <v>5.1129212984270749E-2</v>
      </c>
      <c r="T34" s="139">
        <v>1.5812903012717452E-2</v>
      </c>
      <c r="U34" s="139">
        <v>6.682694054701519E-4</v>
      </c>
      <c r="V34" s="139">
        <v>7.0005277692976209E-2</v>
      </c>
      <c r="W34" s="139">
        <v>4.7424272759078422E-4</v>
      </c>
      <c r="X34" s="140">
        <v>1.5279312909630682</v>
      </c>
      <c r="Y34" s="141">
        <f t="shared" si="1"/>
        <v>0.2871064141407042</v>
      </c>
      <c r="AA34" s="770"/>
      <c r="AB34" s="251">
        <v>60</v>
      </c>
      <c r="AC34" s="292">
        <v>1.4189999999999999E-3</v>
      </c>
      <c r="AD34" s="293">
        <v>-2.699E-2</v>
      </c>
      <c r="AE34" s="293">
        <v>1.5139999999999999E-4</v>
      </c>
      <c r="AF34" s="293">
        <v>5.5630000000000001E-5</v>
      </c>
      <c r="AG34" s="294">
        <v>-2.8439999999999998E-6</v>
      </c>
      <c r="AH34" s="260">
        <f t="shared" si="2"/>
        <v>-1.2031373999999999E-2</v>
      </c>
      <c r="AI34" s="126">
        <f t="shared" si="3"/>
        <v>-0.7218824399999999</v>
      </c>
      <c r="AK34" s="773"/>
      <c r="AL34" s="266">
        <v>90</v>
      </c>
      <c r="AM34" s="276">
        <v>-8.3767500000000005E-3</v>
      </c>
      <c r="AN34" s="277">
        <v>3.5504999999999993E-4</v>
      </c>
      <c r="AO34" s="277">
        <v>-2.1377249999999999E-6</v>
      </c>
      <c r="AP34" s="277">
        <v>7.4812499999999996E-9</v>
      </c>
      <c r="AQ34" s="278">
        <v>-9.8370000000000002E-12</v>
      </c>
      <c r="AR34" s="260">
        <f t="shared" si="4"/>
        <v>-7.235261718750018E-4</v>
      </c>
      <c r="AS34" s="126">
        <f t="shared" si="5"/>
        <v>-6.5117355468750165E-2</v>
      </c>
    </row>
    <row r="35" spans="2:45" ht="24" customHeight="1" thickBot="1" x14ac:dyDescent="0.3">
      <c r="B35" s="705" t="s">
        <v>22</v>
      </c>
      <c r="C35" s="493">
        <v>19</v>
      </c>
      <c r="D35" s="425">
        <v>0.01</v>
      </c>
      <c r="E35" s="417">
        <v>4.9757335479739241E-9</v>
      </c>
      <c r="F35" s="426">
        <v>2.2355185903791068</v>
      </c>
      <c r="G35" s="556">
        <f t="shared" si="6"/>
        <v>0.99688411929054255</v>
      </c>
      <c r="H35" s="126">
        <f t="shared" si="7"/>
        <v>18.940798266520307</v>
      </c>
      <c r="J35" s="749"/>
      <c r="K35" s="185">
        <v>26</v>
      </c>
      <c r="L35" s="381">
        <v>581.54</v>
      </c>
      <c r="M35" s="209">
        <v>2.0150000000000001</v>
      </c>
      <c r="N35" s="211">
        <v>1.194</v>
      </c>
      <c r="O35" s="189">
        <f t="shared" si="0"/>
        <v>1372.7125117238345</v>
      </c>
      <c r="Q35" s="737" t="s">
        <v>22</v>
      </c>
      <c r="R35" s="130">
        <v>19</v>
      </c>
      <c r="S35" s="131">
        <v>3.9863085237884142E-2</v>
      </c>
      <c r="T35" s="131">
        <v>2.1638788638297029E-2</v>
      </c>
      <c r="U35" s="131">
        <v>5.3108435906838139E-4</v>
      </c>
      <c r="V35" s="131">
        <v>0.15040887274616843</v>
      </c>
      <c r="W35" s="131">
        <v>3.3437014396157661E-4</v>
      </c>
      <c r="X35" s="132">
        <v>1.7830175709657636</v>
      </c>
      <c r="Y35" s="133">
        <f t="shared" si="1"/>
        <v>9.1671577927780759E-2</v>
      </c>
      <c r="AA35" s="770"/>
      <c r="AB35" s="251">
        <v>75</v>
      </c>
      <c r="AC35" s="292">
        <v>2.4399999999999999E-3</v>
      </c>
      <c r="AD35" s="293">
        <v>-4.6989999999999997E-2</v>
      </c>
      <c r="AE35" s="293">
        <v>3.8800000000000002E-3</v>
      </c>
      <c r="AF35" s="293">
        <v>-3.3579999999999998E-4</v>
      </c>
      <c r="AG35" s="294">
        <v>1.225E-5</v>
      </c>
      <c r="AH35" s="260">
        <f t="shared" si="2"/>
        <v>-2.0126209374999999E-2</v>
      </c>
      <c r="AI35" s="126">
        <f t="shared" si="3"/>
        <v>-1.5094657031249998</v>
      </c>
      <c r="AK35" s="774"/>
      <c r="AL35" s="267">
        <v>125</v>
      </c>
      <c r="AM35" s="284">
        <v>-1.1634375000000002E-2</v>
      </c>
      <c r="AN35" s="280">
        <v>4.9312499999999986E-4</v>
      </c>
      <c r="AO35" s="280">
        <v>-2.9690625E-6</v>
      </c>
      <c r="AP35" s="280">
        <v>1.0390625E-8</v>
      </c>
      <c r="AQ35" s="285">
        <v>-1.3662500000000002E-11</v>
      </c>
      <c r="AR35" s="261">
        <f t="shared" si="4"/>
        <v>-1.0048974609375054E-3</v>
      </c>
      <c r="AS35" s="262">
        <f t="shared" si="5"/>
        <v>-0.12561218261718818</v>
      </c>
    </row>
    <row r="36" spans="2:45" ht="24" customHeight="1" x14ac:dyDescent="0.25">
      <c r="B36" s="706"/>
      <c r="C36" s="494">
        <v>26</v>
      </c>
      <c r="D36" s="419">
        <v>0.01</v>
      </c>
      <c r="E36" s="420">
        <v>6.3041988282043511E-10</v>
      </c>
      <c r="F36" s="421">
        <v>2.7138308977134478</v>
      </c>
      <c r="G36" s="347">
        <f t="shared" si="6"/>
        <v>0.99743414903614391</v>
      </c>
      <c r="H36" s="124">
        <f t="shared" si="7"/>
        <v>25.93328787493974</v>
      </c>
      <c r="J36" s="749"/>
      <c r="K36" s="185">
        <v>40</v>
      </c>
      <c r="L36" s="247">
        <v>630.00380357719871</v>
      </c>
      <c r="M36" s="248">
        <v>2.0150000000000001</v>
      </c>
      <c r="N36" s="211">
        <v>1.194</v>
      </c>
      <c r="O36" s="189">
        <f t="shared" si="0"/>
        <v>1487.1102651649512</v>
      </c>
      <c r="Q36" s="735"/>
      <c r="R36" s="134">
        <v>26</v>
      </c>
      <c r="S36" s="135">
        <v>4.042248005580406E-2</v>
      </c>
      <c r="T36" s="135">
        <v>2.041996305448961E-2</v>
      </c>
      <c r="U36" s="135">
        <v>5.9619509109814952E-4</v>
      </c>
      <c r="V36" s="135">
        <v>0.11636387583094591</v>
      </c>
      <c r="W36" s="135">
        <v>3.9336936818099336E-4</v>
      </c>
      <c r="X36" s="136">
        <v>1.8719993418568326</v>
      </c>
      <c r="Y36" s="137">
        <f t="shared" si="1"/>
        <v>0.12344744264565033</v>
      </c>
      <c r="AA36" s="770"/>
      <c r="AB36" s="251">
        <v>90</v>
      </c>
      <c r="AC36" s="292">
        <v>2.4399999999999999E-3</v>
      </c>
      <c r="AD36" s="293">
        <v>-4.6989999999999997E-2</v>
      </c>
      <c r="AE36" s="293">
        <v>3.8800000000000002E-3</v>
      </c>
      <c r="AF36" s="293">
        <v>-3.3579999999999998E-4</v>
      </c>
      <c r="AG36" s="294">
        <v>1.225E-5</v>
      </c>
      <c r="AH36" s="260">
        <f t="shared" si="2"/>
        <v>-2.0126209374999999E-2</v>
      </c>
      <c r="AI36" s="126">
        <f t="shared" si="3"/>
        <v>-1.8113588437499999</v>
      </c>
      <c r="AK36" s="772" t="s">
        <v>66</v>
      </c>
      <c r="AL36" s="271">
        <v>26</v>
      </c>
      <c r="AM36" s="286">
        <v>-3.0000000000000001E-3</v>
      </c>
      <c r="AN36" s="287">
        <v>1E-4</v>
      </c>
      <c r="AO36" s="287">
        <v>-8.9999999999999996E-7</v>
      </c>
      <c r="AP36" s="287">
        <v>4.0000000000000001E-10</v>
      </c>
      <c r="AQ36" s="288">
        <v>7.9999999999999998E-12</v>
      </c>
      <c r="AR36" s="259">
        <f t="shared" si="4"/>
        <v>-1.053125E-3</v>
      </c>
      <c r="AS36" s="123">
        <f t="shared" si="5"/>
        <v>-2.7381249999999999E-2</v>
      </c>
    </row>
    <row r="37" spans="2:45" ht="24" customHeight="1" thickBot="1" x14ac:dyDescent="0.3">
      <c r="B37" s="706"/>
      <c r="C37" s="494">
        <v>40</v>
      </c>
      <c r="D37" s="419">
        <v>0.01</v>
      </c>
      <c r="E37" s="420">
        <v>1.8434466820745532E-8</v>
      </c>
      <c r="F37" s="421">
        <v>2.3584991696787521</v>
      </c>
      <c r="G37" s="347">
        <f t="shared" si="6"/>
        <v>0.98160970195442643</v>
      </c>
      <c r="H37" s="124">
        <f t="shared" si="7"/>
        <v>39.264388078177056</v>
      </c>
      <c r="J37" s="749"/>
      <c r="K37" s="185">
        <v>60</v>
      </c>
      <c r="L37" s="389">
        <v>557.3110570105988</v>
      </c>
      <c r="M37" s="210">
        <v>2.0150000000000001</v>
      </c>
      <c r="N37" s="211">
        <v>1.194</v>
      </c>
      <c r="O37" s="189">
        <f t="shared" si="0"/>
        <v>1315.5206191843799</v>
      </c>
      <c r="Q37" s="735"/>
      <c r="R37" s="134">
        <v>40</v>
      </c>
      <c r="S37" s="135">
        <v>5.1193865411788865E-2</v>
      </c>
      <c r="T37" s="135">
        <v>1.6023444993605918E-2</v>
      </c>
      <c r="U37" s="135">
        <v>6.639636080529171E-4</v>
      </c>
      <c r="V37" s="135">
        <v>9.0337919939518924E-2</v>
      </c>
      <c r="W37" s="135">
        <v>4.4051542989429816E-4</v>
      </c>
      <c r="X37" s="136">
        <v>1.6786564548586731</v>
      </c>
      <c r="Y37" s="137">
        <f t="shared" si="1"/>
        <v>0.19671468315032628</v>
      </c>
      <c r="AA37" s="771"/>
      <c r="AB37" s="256">
        <v>125</v>
      </c>
      <c r="AC37" s="295">
        <v>3.7750000000000001E-3</v>
      </c>
      <c r="AD37" s="296">
        <v>-7.3150000000000007E-2</v>
      </c>
      <c r="AE37" s="296">
        <v>8.7549999999999989E-3</v>
      </c>
      <c r="AF37" s="296">
        <v>-8.4769999999999995E-4</v>
      </c>
      <c r="AG37" s="297">
        <v>3.1989999999999997E-5</v>
      </c>
      <c r="AH37" s="264">
        <f t="shared" si="2"/>
        <v>-3.0715213125000005E-2</v>
      </c>
      <c r="AI37" s="125">
        <f t="shared" si="3"/>
        <v>-3.8394016406250007</v>
      </c>
      <c r="AK37" s="774"/>
      <c r="AL37" s="266">
        <v>60</v>
      </c>
      <c r="AM37" s="549">
        <v>-6.0000000000000002E-5</v>
      </c>
      <c r="AN37" s="289">
        <v>3.9999999999999998E-6</v>
      </c>
      <c r="AO37" s="289">
        <v>5.9999999999999997E-7</v>
      </c>
      <c r="AP37" s="277">
        <v>3E-9</v>
      </c>
      <c r="AQ37" s="281">
        <v>-1.9999999999999999E-11</v>
      </c>
      <c r="AR37" s="657">
        <f t="shared" ref="AR37" si="11">IF(OR(AN$6&lt;-60,AN$6&gt;200),"out of range",IF($AN$6="","",AM37+AN37*$AN$6+AO37*$AN$6^2+AP37*$AN$6^3+AQ37*$AN$6^4))</f>
        <v>4.5406249999999998E-4</v>
      </c>
      <c r="AS37" s="126">
        <f t="shared" si="5"/>
        <v>2.7243750000000001E-2</v>
      </c>
    </row>
    <row r="38" spans="2:45" ht="24" customHeight="1" x14ac:dyDescent="0.25">
      <c r="B38" s="706"/>
      <c r="C38" s="494">
        <v>60</v>
      </c>
      <c r="D38" s="419">
        <v>0.01</v>
      </c>
      <c r="E38" s="420">
        <v>1.4887928186541102E-8</v>
      </c>
      <c r="F38" s="421">
        <v>2.6125528717042759</v>
      </c>
      <c r="G38" s="347">
        <f t="shared" si="6"/>
        <v>0.96072794282267771</v>
      </c>
      <c r="H38" s="124">
        <f t="shared" si="7"/>
        <v>57.643676569360665</v>
      </c>
      <c r="J38" s="749"/>
      <c r="K38" s="185">
        <v>75</v>
      </c>
      <c r="L38" s="414">
        <v>542.77</v>
      </c>
      <c r="M38" s="544">
        <v>2.0150000000000001</v>
      </c>
      <c r="N38" s="545">
        <v>1.194</v>
      </c>
      <c r="O38" s="189">
        <f t="shared" si="0"/>
        <v>1281.1967706234234</v>
      </c>
      <c r="Q38" s="735"/>
      <c r="R38" s="134">
        <v>60</v>
      </c>
      <c r="S38" s="135">
        <v>3.8799406654010979E-2</v>
      </c>
      <c r="T38" s="135">
        <v>1.6480058455710895E-2</v>
      </c>
      <c r="U38" s="135">
        <v>6.9820197229084459E-4</v>
      </c>
      <c r="V38" s="135">
        <v>6.6106225476465885E-2</v>
      </c>
      <c r="W38" s="135">
        <v>4.7047918335963357E-4</v>
      </c>
      <c r="X38" s="136">
        <v>1.6227724973222166</v>
      </c>
      <c r="Y38" s="137">
        <f t="shared" si="1"/>
        <v>0.2996323409681293</v>
      </c>
      <c r="AA38" s="769" t="s">
        <v>7</v>
      </c>
      <c r="AB38" s="250">
        <v>14</v>
      </c>
      <c r="AC38" s="391">
        <v>0</v>
      </c>
      <c r="AD38" s="299">
        <v>-1.0699999999999999E-2</v>
      </c>
      <c r="AE38" s="299">
        <v>5.9599999999999996E-4</v>
      </c>
      <c r="AF38" s="299">
        <v>-4.9200000000000003E-4</v>
      </c>
      <c r="AG38" s="300">
        <v>3.0700000000000001E-5</v>
      </c>
      <c r="AH38" s="260">
        <f t="shared" si="2"/>
        <v>-5.2605812500000002E-3</v>
      </c>
      <c r="AI38" s="123">
        <f t="shared" si="3"/>
        <v>-7.3648137500000002E-2</v>
      </c>
      <c r="AK38" s="772" t="s">
        <v>7</v>
      </c>
      <c r="AL38" s="265">
        <v>14</v>
      </c>
      <c r="AM38" s="286">
        <v>-2.5000000000000001E-3</v>
      </c>
      <c r="AN38" s="287">
        <v>9.6700000000000006E-5</v>
      </c>
      <c r="AO38" s="287">
        <v>5.5600000000000002E-8</v>
      </c>
      <c r="AP38" s="399">
        <v>0</v>
      </c>
      <c r="AQ38" s="405">
        <v>0</v>
      </c>
      <c r="AR38" s="259">
        <f t="shared" si="4"/>
        <v>-4.775000000000011E-5</v>
      </c>
      <c r="AS38" s="123">
        <f t="shared" si="5"/>
        <v>-6.6850000000000156E-4</v>
      </c>
    </row>
    <row r="39" spans="2:45" ht="24" customHeight="1" x14ac:dyDescent="0.25">
      <c r="B39" s="706"/>
      <c r="C39" s="494">
        <v>75</v>
      </c>
      <c r="D39" s="419">
        <v>0.01</v>
      </c>
      <c r="E39" s="420">
        <v>2.2692938993693701E-8</v>
      </c>
      <c r="F39" s="421">
        <v>2.6494013932779432</v>
      </c>
      <c r="G39" s="347">
        <f t="shared" si="6"/>
        <v>0.93286297414531438</v>
      </c>
      <c r="H39" s="124">
        <f t="shared" si="7"/>
        <v>69.964723060898578</v>
      </c>
      <c r="J39" s="749"/>
      <c r="K39" s="212">
        <v>90</v>
      </c>
      <c r="L39" s="379">
        <v>542.77</v>
      </c>
      <c r="M39" s="544">
        <v>2.0150000000000001</v>
      </c>
      <c r="N39" s="380">
        <v>1.194</v>
      </c>
      <c r="O39" s="189">
        <f t="shared" si="0"/>
        <v>1281.1967706234234</v>
      </c>
      <c r="Q39" s="735"/>
      <c r="R39" s="134">
        <v>75</v>
      </c>
      <c r="S39" s="135">
        <v>4.1424534022643802E-2</v>
      </c>
      <c r="T39" s="135">
        <v>1.4141920901550586E-2</v>
      </c>
      <c r="U39" s="135">
        <v>7.1189470345212329E-4</v>
      </c>
      <c r="V39" s="135">
        <v>5.5835836047438081E-2</v>
      </c>
      <c r="W39" s="135">
        <v>4.6484636067884946E-4</v>
      </c>
      <c r="X39" s="136">
        <v>1.460697299288455</v>
      </c>
      <c r="Y39" s="137">
        <f t="shared" si="1"/>
        <v>0.37436170254108397</v>
      </c>
      <c r="AA39" s="770"/>
      <c r="AB39" s="251">
        <v>26</v>
      </c>
      <c r="AC39" s="393">
        <v>0</v>
      </c>
      <c r="AD39" s="293">
        <v>-2.5600000000000001E-2</v>
      </c>
      <c r="AE39" s="293">
        <v>3.4299999999999999E-3</v>
      </c>
      <c r="AF39" s="293">
        <v>-7.3399999999999995E-4</v>
      </c>
      <c r="AG39" s="294">
        <v>3.9900000000000001E-5</v>
      </c>
      <c r="AH39" s="260">
        <f t="shared" si="2"/>
        <v>-1.2031756249999999E-2</v>
      </c>
      <c r="AI39" s="126">
        <f t="shared" si="3"/>
        <v>-0.31282566249999999</v>
      </c>
      <c r="AK39" s="773"/>
      <c r="AL39" s="266">
        <v>26</v>
      </c>
      <c r="AM39" s="276">
        <v>-3.3E-3</v>
      </c>
      <c r="AN39" s="277">
        <v>1.2899999999999999E-4</v>
      </c>
      <c r="AO39" s="277">
        <v>3.8000000000000003E-8</v>
      </c>
      <c r="AP39" s="401">
        <v>0</v>
      </c>
      <c r="AQ39" s="402">
        <v>0</v>
      </c>
      <c r="AR39" s="260">
        <f t="shared" si="4"/>
        <v>-5.1250000000000412E-5</v>
      </c>
      <c r="AS39" s="126">
        <f t="shared" si="5"/>
        <v>-1.3325000000000108E-3</v>
      </c>
    </row>
    <row r="40" spans="2:45" ht="24" customHeight="1" thickBot="1" x14ac:dyDescent="0.3">
      <c r="B40" s="706"/>
      <c r="C40" s="494">
        <v>90</v>
      </c>
      <c r="D40" s="419">
        <v>0.01</v>
      </c>
      <c r="E40" s="420">
        <v>9.8414440975217902E-8</v>
      </c>
      <c r="F40" s="421">
        <v>2.4772252516933335</v>
      </c>
      <c r="G40" s="347">
        <f t="shared" si="6"/>
        <v>0.86270559450079087</v>
      </c>
      <c r="H40" s="124">
        <f t="shared" si="7"/>
        <v>77.64350350507118</v>
      </c>
      <c r="J40" s="750"/>
      <c r="K40" s="212">
        <v>125</v>
      </c>
      <c r="L40" s="244">
        <v>533.08014148839891</v>
      </c>
      <c r="M40" s="216">
        <v>2.0150000000000001</v>
      </c>
      <c r="N40" s="409">
        <v>1.194</v>
      </c>
      <c r="O40" s="191">
        <f t="shared" si="0"/>
        <v>1258.3240705241894</v>
      </c>
      <c r="Q40" s="735"/>
      <c r="R40" s="134">
        <v>90</v>
      </c>
      <c r="S40" s="135">
        <v>3.6211771758990645E-2</v>
      </c>
      <c r="T40" s="135">
        <v>1.9867301384581617E-2</v>
      </c>
      <c r="U40" s="135">
        <v>6.6748907309935942E-4</v>
      </c>
      <c r="V40" s="135">
        <v>4.9206113106140349E-2</v>
      </c>
      <c r="W40" s="135">
        <v>4.6568865593631662E-4</v>
      </c>
      <c r="X40" s="136">
        <v>1.5424452526310231</v>
      </c>
      <c r="Y40" s="137">
        <f t="shared" si="1"/>
        <v>0.43561516808601008</v>
      </c>
      <c r="AA40" s="770"/>
      <c r="AB40" s="251">
        <v>60</v>
      </c>
      <c r="AC40" s="393">
        <v>0</v>
      </c>
      <c r="AD40" s="293">
        <v>-3.8699999999999998E-2</v>
      </c>
      <c r="AE40" s="293">
        <v>3.0500000000000002E-3</v>
      </c>
      <c r="AF40" s="293">
        <v>-5.4900000000000001E-4</v>
      </c>
      <c r="AG40" s="294">
        <v>2.69E-5</v>
      </c>
      <c r="AH40" s="260">
        <f t="shared" si="2"/>
        <v>-1.8654443749999999E-2</v>
      </c>
      <c r="AI40" s="126">
        <f t="shared" si="3"/>
        <v>-1.1192666249999998</v>
      </c>
      <c r="AK40" s="773"/>
      <c r="AL40" s="266">
        <v>60</v>
      </c>
      <c r="AM40" s="276">
        <v>-4.4000000000000003E-3</v>
      </c>
      <c r="AN40" s="277">
        <v>1.74E-4</v>
      </c>
      <c r="AO40" s="277">
        <v>4.0900000000000002E-8</v>
      </c>
      <c r="AP40" s="401">
        <v>0</v>
      </c>
      <c r="AQ40" s="402">
        <v>0</v>
      </c>
      <c r="AR40" s="260">
        <f t="shared" si="4"/>
        <v>-2.4437500000000564E-5</v>
      </c>
      <c r="AS40" s="126">
        <f t="shared" si="5"/>
        <v>-1.4662500000000337E-3</v>
      </c>
    </row>
    <row r="41" spans="2:45" ht="24" customHeight="1" thickBot="1" x14ac:dyDescent="0.3">
      <c r="B41" s="706"/>
      <c r="C41" s="495">
        <v>125</v>
      </c>
      <c r="D41" s="422">
        <v>0.01</v>
      </c>
      <c r="E41" s="423">
        <v>2.6870549229305739E-7</v>
      </c>
      <c r="F41" s="424">
        <v>2.4772252516933335</v>
      </c>
      <c r="G41" s="128">
        <f t="shared" si="6"/>
        <v>0.69709817703920751</v>
      </c>
      <c r="H41" s="125">
        <f t="shared" si="7"/>
        <v>87.137272129900936</v>
      </c>
      <c r="J41" s="754" t="s">
        <v>55</v>
      </c>
      <c r="K41" s="192">
        <v>26</v>
      </c>
      <c r="L41" s="413">
        <v>443.52876329806838</v>
      </c>
      <c r="M41" s="412">
        <v>2.0150000000000001</v>
      </c>
      <c r="N41" s="411">
        <v>1.3116271254420306</v>
      </c>
      <c r="O41" s="196">
        <f>IF(OR($K$6=0,$N$6=0),"",L41*$K$6^M41*$N$6^N41)</f>
        <v>1799.6002317048901</v>
      </c>
      <c r="Q41" s="735"/>
      <c r="R41" s="138">
        <v>125</v>
      </c>
      <c r="S41" s="139">
        <v>3.8139936201421407E-2</v>
      </c>
      <c r="T41" s="139">
        <v>1.7287642009696173E-2</v>
      </c>
      <c r="U41" s="139">
        <v>6.2774140532878781E-4</v>
      </c>
      <c r="V41" s="139">
        <v>3.3631471810132159E-2</v>
      </c>
      <c r="W41" s="139">
        <v>4.6494977894339897E-4</v>
      </c>
      <c r="X41" s="140">
        <v>1.3067124000265149</v>
      </c>
      <c r="Y41" s="141">
        <f t="shared" si="1"/>
        <v>0.56161243188568999</v>
      </c>
      <c r="AA41" s="770"/>
      <c r="AB41" s="251">
        <v>125</v>
      </c>
      <c r="AC41" s="393">
        <v>0</v>
      </c>
      <c r="AD41" s="293">
        <v>-8.5999999999999993E-2</v>
      </c>
      <c r="AE41" s="293">
        <v>1.14E-2</v>
      </c>
      <c r="AF41" s="293">
        <v>-1.3699999999999999E-3</v>
      </c>
      <c r="AG41" s="294">
        <v>6.05E-5</v>
      </c>
      <c r="AH41" s="260">
        <f t="shared" si="2"/>
        <v>-4.0317468749999995E-2</v>
      </c>
      <c r="AI41" s="126">
        <f t="shared" si="3"/>
        <v>-5.0396835937499995</v>
      </c>
      <c r="AK41" s="773"/>
      <c r="AL41" s="266">
        <v>125</v>
      </c>
      <c r="AM41" s="276">
        <v>-6.0000000000000001E-3</v>
      </c>
      <c r="AN41" s="277">
        <v>2.4000000000000001E-4</v>
      </c>
      <c r="AO41" s="277">
        <v>3.2199999999999997E-8</v>
      </c>
      <c r="AP41" s="401">
        <v>0</v>
      </c>
      <c r="AQ41" s="402">
        <v>0</v>
      </c>
      <c r="AR41" s="260">
        <f t="shared" si="4"/>
        <v>2.0124999999999998E-5</v>
      </c>
      <c r="AS41" s="126">
        <f t="shared" si="5"/>
        <v>2.5156249999999996E-3</v>
      </c>
    </row>
    <row r="42" spans="2:45" ht="24" customHeight="1" thickBot="1" x14ac:dyDescent="0.3">
      <c r="B42" s="706"/>
      <c r="C42" s="732" t="s">
        <v>52</v>
      </c>
      <c r="D42" s="733"/>
      <c r="E42" s="733"/>
      <c r="F42" s="733"/>
      <c r="G42" s="733"/>
      <c r="H42" s="734"/>
      <c r="J42" s="767"/>
      <c r="K42" s="185">
        <v>40</v>
      </c>
      <c r="L42" s="389">
        <v>442.14893175743748</v>
      </c>
      <c r="M42" s="210">
        <v>2.0150000000000001</v>
      </c>
      <c r="N42" s="211">
        <v>1.2825591375200613</v>
      </c>
      <c r="O42" s="189">
        <f>IF(OR($K$6=0,$N$6=0),"",L42*$K$6^M42*$N$6^N42)</f>
        <v>1569.2309137892239</v>
      </c>
      <c r="Q42" s="735"/>
      <c r="R42" s="759" t="s">
        <v>52</v>
      </c>
      <c r="S42" s="760"/>
      <c r="T42" s="760"/>
      <c r="U42" s="760"/>
      <c r="V42" s="760"/>
      <c r="W42" s="760"/>
      <c r="X42" s="760"/>
      <c r="Y42" s="761"/>
      <c r="AA42" s="770"/>
      <c r="AB42" s="251">
        <v>147</v>
      </c>
      <c r="AC42" s="393">
        <v>0</v>
      </c>
      <c r="AD42" s="293">
        <v>-8.1699999999999995E-2</v>
      </c>
      <c r="AE42" s="293">
        <v>7.3299999999999997E-3</v>
      </c>
      <c r="AF42" s="293">
        <v>-6.4000000000000005E-4</v>
      </c>
      <c r="AG42" s="294">
        <v>2.3900000000000002E-5</v>
      </c>
      <c r="AH42" s="260">
        <f t="shared" si="2"/>
        <v>-3.9096006249999996E-2</v>
      </c>
      <c r="AI42" s="126">
        <f t="shared" si="3"/>
        <v>-5.7471129187499992</v>
      </c>
      <c r="AK42" s="773"/>
      <c r="AL42" s="266">
        <v>147</v>
      </c>
      <c r="AM42" s="276">
        <v>-7.9000000000000008E-3</v>
      </c>
      <c r="AN42" s="277">
        <v>3.1399999999999999E-4</v>
      </c>
      <c r="AO42" s="277">
        <v>7.3099999999999999E-8</v>
      </c>
      <c r="AP42" s="401">
        <v>0</v>
      </c>
      <c r="AQ42" s="402">
        <v>0</v>
      </c>
      <c r="AR42" s="260">
        <f t="shared" si="4"/>
        <v>-4.312500000001433E-6</v>
      </c>
      <c r="AS42" s="126">
        <f t="shared" si="5"/>
        <v>-6.3393750000021061E-4</v>
      </c>
    </row>
    <row r="43" spans="2:45" ht="24" customHeight="1" thickBot="1" x14ac:dyDescent="0.3">
      <c r="B43" s="707"/>
      <c r="C43" s="497">
        <v>125</v>
      </c>
      <c r="D43" s="433">
        <v>0.01</v>
      </c>
      <c r="E43" s="434">
        <v>2.8411900000000002E-6</v>
      </c>
      <c r="F43" s="435">
        <v>1.956</v>
      </c>
      <c r="G43" s="334">
        <f>IF(OR(0.01*(1/(D43+E43*(D$6^F43)))&lt;0.3,0.01*(1/(D43+E43*(D$6^F43)))&gt;1),"Under 30%",0.01*(1/(D43+E43*(D$6^F43))))</f>
        <v>0.62579062770204374</v>
      </c>
      <c r="H43" s="335">
        <f>IF(G43="Under 30%","Out of Range",G43*C43)</f>
        <v>78.223828462755463</v>
      </c>
      <c r="J43" s="755"/>
      <c r="K43" s="185">
        <v>60</v>
      </c>
      <c r="L43" s="215">
        <v>447.33893984329939</v>
      </c>
      <c r="M43" s="216">
        <v>2.0150000000000001</v>
      </c>
      <c r="N43" s="217">
        <v>1.2715017379117546</v>
      </c>
      <c r="O43" s="191">
        <f>IF(OR($K$6=0,$N$6=0),"",L43*$K$6^M43*$N$6^N43)</f>
        <v>1508.8295464675666</v>
      </c>
      <c r="Q43" s="736"/>
      <c r="R43" s="336">
        <v>125</v>
      </c>
      <c r="S43" s="338">
        <v>0.01</v>
      </c>
      <c r="T43" s="339">
        <v>1.1926086093861445E-2</v>
      </c>
      <c r="U43" s="339">
        <v>5.3786756781506789E-4</v>
      </c>
      <c r="V43" s="339">
        <v>3.2238365948085011E-2</v>
      </c>
      <c r="W43" s="339">
        <v>3.843674263276676E-4</v>
      </c>
      <c r="X43" s="340">
        <v>1.0477153271393709</v>
      </c>
      <c r="Y43" s="337">
        <f t="shared" si="1"/>
        <v>0.53051828064240913</v>
      </c>
      <c r="AA43" s="792"/>
      <c r="AB43" s="252">
        <v>160</v>
      </c>
      <c r="AC43" s="392">
        <v>0</v>
      </c>
      <c r="AD43" s="301">
        <v>-8.5900000000000004E-2</v>
      </c>
      <c r="AE43" s="301">
        <v>7.2199999999999999E-3</v>
      </c>
      <c r="AF43" s="301">
        <v>-5.53E-4</v>
      </c>
      <c r="AG43" s="302">
        <v>1.88E-5</v>
      </c>
      <c r="AH43" s="264">
        <f t="shared" si="2"/>
        <v>-4.1212950000000005E-2</v>
      </c>
      <c r="AI43" s="125">
        <f t="shared" si="3"/>
        <v>-6.5940720000000006</v>
      </c>
      <c r="AK43" s="774"/>
      <c r="AL43" s="267">
        <v>160</v>
      </c>
      <c r="AM43" s="284">
        <v>-9.1999999999999998E-3</v>
      </c>
      <c r="AN43" s="280">
        <v>3.6699999999999998E-4</v>
      </c>
      <c r="AO43" s="280">
        <v>1.7500000000000001E-8</v>
      </c>
      <c r="AP43" s="403">
        <v>0</v>
      </c>
      <c r="AQ43" s="404">
        <v>0</v>
      </c>
      <c r="AR43" s="264">
        <f t="shared" si="4"/>
        <v>-1.4062500000000715E-5</v>
      </c>
      <c r="AS43" s="262">
        <f t="shared" si="5"/>
        <v>-2.2500000000001143E-3</v>
      </c>
    </row>
    <row r="44" spans="2:45" ht="24" customHeight="1" thickBot="1" x14ac:dyDescent="0.3">
      <c r="B44" s="708" t="s">
        <v>55</v>
      </c>
      <c r="C44" s="493">
        <v>26</v>
      </c>
      <c r="D44" s="425">
        <v>0.01</v>
      </c>
      <c r="E44" s="417">
        <v>2.8130000000000001E-9</v>
      </c>
      <c r="F44" s="426">
        <v>2.423</v>
      </c>
      <c r="G44" s="345">
        <f t="shared" ref="G44:G128" si="12">IF(OR(0.01*(1/(D44+E44*(D$6^F44)))&lt;0.3,0.01*(1/(D44+E44*(D$6^F44)))&gt;1),"Under 30%",0.01*(1/(D44+E44*(D$6^F44))))</f>
        <v>0.99633411317642429</v>
      </c>
      <c r="H44" s="126">
        <f t="shared" ref="H44:H128" si="13">IF(G44="Under 30%","Out of Range",G44*C44)</f>
        <v>25.904686942587031</v>
      </c>
      <c r="J44" s="754" t="s">
        <v>66</v>
      </c>
      <c r="K44" s="192">
        <v>26</v>
      </c>
      <c r="L44" s="215">
        <v>363.07</v>
      </c>
      <c r="M44" s="216">
        <v>2.0150000000000001</v>
      </c>
      <c r="N44" s="217">
        <v>1.2361872962890241</v>
      </c>
      <c r="O44" s="196">
        <f t="shared" ref="O44:O45" si="14">IF(OR($K$6=0,$N$6=0),"",L44*$K$6^M44*$N$6^N44)</f>
        <v>1040.7944262455433</v>
      </c>
      <c r="Q44" s="738" t="s">
        <v>55</v>
      </c>
      <c r="R44" s="130">
        <v>26</v>
      </c>
      <c r="S44" s="362">
        <v>6.1752007864350651E-2</v>
      </c>
      <c r="T44" s="324">
        <v>1.0352571836178699E-2</v>
      </c>
      <c r="U44" s="324">
        <v>1.9199099020566574E-4</v>
      </c>
      <c r="V44" s="324">
        <v>4.3217301668527712E-2</v>
      </c>
      <c r="W44" s="153">
        <v>1.1671456811173094E-4</v>
      </c>
      <c r="X44" s="154">
        <v>1.7779141981020663</v>
      </c>
      <c r="Y44" s="133">
        <f t="shared" si="1"/>
        <v>0.12238678071432013</v>
      </c>
      <c r="AA44" s="769" t="s">
        <v>21</v>
      </c>
      <c r="AB44" s="250">
        <v>26</v>
      </c>
      <c r="AC44" s="394">
        <v>0</v>
      </c>
      <c r="AD44" s="254">
        <v>-4.4838512727272736E-3</v>
      </c>
      <c r="AE44" s="254">
        <v>3.1749072727272725E-4</v>
      </c>
      <c r="AF44" s="254">
        <v>-1.3786996363636365E-5</v>
      </c>
      <c r="AG44" s="255">
        <v>0</v>
      </c>
      <c r="AH44" s="260">
        <f t="shared" si="2"/>
        <v>-2.1642763290909096E-3</v>
      </c>
      <c r="AI44" s="126">
        <f t="shared" si="3"/>
        <v>-5.6271184556363651E-2</v>
      </c>
      <c r="AK44" s="772" t="s">
        <v>21</v>
      </c>
      <c r="AL44" s="272">
        <v>26</v>
      </c>
      <c r="AM44" s="273">
        <v>-1.5314999999999999E-3</v>
      </c>
      <c r="AN44" s="274">
        <v>6.0535000000000002E-5</v>
      </c>
      <c r="AO44" s="274">
        <v>7.2202499999999988E-8</v>
      </c>
      <c r="AP44" s="274">
        <v>-6.6234999999999999E-10</v>
      </c>
      <c r="AQ44" s="275">
        <v>1.2500150000000001E-12</v>
      </c>
      <c r="AR44" s="260">
        <f t="shared" si="4"/>
        <v>1.714063085937508E-5</v>
      </c>
      <c r="AS44" s="123">
        <f t="shared" si="5"/>
        <v>4.4565640234375207E-4</v>
      </c>
    </row>
    <row r="45" spans="2:45" ht="24" customHeight="1" thickBot="1" x14ac:dyDescent="0.3">
      <c r="B45" s="768"/>
      <c r="C45" s="494">
        <v>40</v>
      </c>
      <c r="D45" s="419">
        <v>0.01</v>
      </c>
      <c r="E45" s="420">
        <v>4.2549999999999999E-9</v>
      </c>
      <c r="F45" s="421">
        <v>2.5720000000000001</v>
      </c>
      <c r="G45" s="347">
        <f t="shared" si="12"/>
        <v>0.99012942657502678</v>
      </c>
      <c r="H45" s="124">
        <f t="shared" si="13"/>
        <v>39.605177063001072</v>
      </c>
      <c r="J45" s="755"/>
      <c r="K45" s="185">
        <v>60</v>
      </c>
      <c r="L45" s="215">
        <v>348.97265471078208</v>
      </c>
      <c r="M45" s="216">
        <v>2.0150000000000001</v>
      </c>
      <c r="N45" s="217">
        <v>1.2361872962890241</v>
      </c>
      <c r="O45" s="204">
        <f t="shared" si="14"/>
        <v>1000.3822787206118</v>
      </c>
      <c r="Q45" s="739"/>
      <c r="R45" s="134">
        <v>40</v>
      </c>
      <c r="S45" s="372">
        <v>6.3622853785591543E-2</v>
      </c>
      <c r="T45" s="373">
        <v>0.01</v>
      </c>
      <c r="U45" s="367">
        <v>2.0789036301092754E-4</v>
      </c>
      <c r="V45" s="373">
        <v>3.2117243337315672E-2</v>
      </c>
      <c r="W45" s="364">
        <v>1.276485812685628E-4</v>
      </c>
      <c r="X45" s="359">
        <v>1.6476138181688011</v>
      </c>
      <c r="Y45" s="137">
        <f t="shared" si="1"/>
        <v>0.19466743154899988</v>
      </c>
      <c r="AA45" s="770"/>
      <c r="AB45" s="611">
        <v>60</v>
      </c>
      <c r="AC45" s="395">
        <v>0</v>
      </c>
      <c r="AD45" s="301">
        <v>-1.03473490909091E-2</v>
      </c>
      <c r="AE45" s="301">
        <v>7.3267090909090904E-4</v>
      </c>
      <c r="AF45" s="293">
        <v>-3.1816145454545457E-5</v>
      </c>
      <c r="AG45" s="303">
        <v>0</v>
      </c>
      <c r="AH45" s="260">
        <f t="shared" si="2"/>
        <v>-4.9944838363636416E-3</v>
      </c>
      <c r="AI45" s="126">
        <f t="shared" si="3"/>
        <v>-0.29966903018181851</v>
      </c>
      <c r="AK45" s="773"/>
      <c r="AL45" s="270">
        <v>60</v>
      </c>
      <c r="AM45" s="279">
        <v>-2.1336000000000003E-3</v>
      </c>
      <c r="AN45" s="289">
        <v>8.1923999999999997E-5</v>
      </c>
      <c r="AO45" s="289">
        <v>1.6427999999999999E-7</v>
      </c>
      <c r="AP45" s="289">
        <v>-1.2420000000000001E-9</v>
      </c>
      <c r="AQ45" s="281">
        <v>2.9375999999999999E-12</v>
      </c>
      <c r="AR45" s="260">
        <f t="shared" si="4"/>
        <v>-1.0837500000005184E-6</v>
      </c>
      <c r="AS45" s="126">
        <f t="shared" si="5"/>
        <v>-6.5025000000031098E-5</v>
      </c>
    </row>
    <row r="46" spans="2:45" ht="24" customHeight="1" thickBot="1" x14ac:dyDescent="0.3">
      <c r="B46" s="709"/>
      <c r="C46" s="495">
        <v>60</v>
      </c>
      <c r="D46" s="422">
        <v>0.01</v>
      </c>
      <c r="E46" s="423">
        <v>5.6940000000000004E-9</v>
      </c>
      <c r="F46" s="424">
        <v>2.714</v>
      </c>
      <c r="G46" s="128">
        <f t="shared" si="12"/>
        <v>0.97727832614245724</v>
      </c>
      <c r="H46" s="125">
        <f t="shared" si="13"/>
        <v>58.636699568547435</v>
      </c>
      <c r="J46" s="766" t="s">
        <v>7</v>
      </c>
      <c r="K46" s="192">
        <v>14</v>
      </c>
      <c r="L46" s="218">
        <v>968.56299999999999</v>
      </c>
      <c r="M46" s="194">
        <v>2.218</v>
      </c>
      <c r="N46" s="183">
        <v>1.1890000000000001</v>
      </c>
      <c r="O46" s="221">
        <f t="shared" ref="O46:O77" si="15">IF(OR($K$6=0,$N$6=0),"",L54*$K$6^M54*$N$6^N54)</f>
        <v>699.99999989004493</v>
      </c>
      <c r="Q46" s="740"/>
      <c r="R46" s="138">
        <v>60</v>
      </c>
      <c r="S46" s="146">
        <v>6.481100590971009E-2</v>
      </c>
      <c r="T46" s="139">
        <v>0.01</v>
      </c>
      <c r="U46" s="147">
        <v>2.2766342425246578E-4</v>
      </c>
      <c r="V46" s="139">
        <v>2.4309943314900655E-2</v>
      </c>
      <c r="W46" s="139">
        <v>1.360733160525645E-4</v>
      </c>
      <c r="X46" s="140">
        <v>1.4958064169659924</v>
      </c>
      <c r="Y46" s="141">
        <f t="shared" si="1"/>
        <v>0.29656657941032916</v>
      </c>
      <c r="AA46" s="770"/>
      <c r="AB46" s="610">
        <v>75</v>
      </c>
      <c r="AC46" s="616">
        <v>0</v>
      </c>
      <c r="AD46" s="301">
        <v>-1.4999999999999999E-2</v>
      </c>
      <c r="AE46" s="301">
        <v>4.8500000000000003E-4</v>
      </c>
      <c r="AF46" s="301">
        <v>4.9999999999999998E-8</v>
      </c>
      <c r="AG46" s="617">
        <v>-3.0000000000000001E-12</v>
      </c>
      <c r="AH46" s="260">
        <f t="shared" si="2"/>
        <v>-7.3787437501874999E-3</v>
      </c>
      <c r="AI46" s="126">
        <f t="shared" si="3"/>
        <v>-0.55340578126406248</v>
      </c>
      <c r="AK46" s="773"/>
      <c r="AL46" s="272">
        <v>75</v>
      </c>
      <c r="AM46" s="279">
        <v>-3.0000000000000001E-3</v>
      </c>
      <c r="AN46" s="289">
        <v>1E-4</v>
      </c>
      <c r="AO46" s="289">
        <v>4.9999999999999998E-8</v>
      </c>
      <c r="AP46" s="289">
        <v>-3.9999999999999998E-11</v>
      </c>
      <c r="AQ46" s="281">
        <v>-9.0000000000000003E-16</v>
      </c>
      <c r="AR46" s="260">
        <f t="shared" si="4"/>
        <v>-4.6937535156249993E-4</v>
      </c>
      <c r="AS46" s="126">
        <f t="shared" si="5"/>
        <v>-3.5203151367187498E-2</v>
      </c>
    </row>
    <row r="47" spans="2:45" ht="24" customHeight="1" x14ac:dyDescent="0.25">
      <c r="B47" s="708" t="s">
        <v>66</v>
      </c>
      <c r="C47" s="493">
        <v>26</v>
      </c>
      <c r="D47" s="425">
        <v>0.01</v>
      </c>
      <c r="E47" s="417">
        <v>2.6987935484064322E-9</v>
      </c>
      <c r="F47" s="426">
        <v>2.4540837670388438</v>
      </c>
      <c r="G47" s="345">
        <f t="shared" si="12"/>
        <v>0.99602939643822508</v>
      </c>
      <c r="H47" s="126">
        <f t="shared" si="13"/>
        <v>25.896764307393852</v>
      </c>
      <c r="J47" s="749"/>
      <c r="K47" s="185">
        <v>26</v>
      </c>
      <c r="L47" s="214">
        <v>492.31400000000002</v>
      </c>
      <c r="M47" s="187">
        <v>2.218</v>
      </c>
      <c r="N47" s="206">
        <v>1.24</v>
      </c>
      <c r="O47" s="219">
        <f t="shared" si="15"/>
        <v>599.99999999996146</v>
      </c>
      <c r="Q47" s="738" t="s">
        <v>67</v>
      </c>
      <c r="R47" s="130">
        <v>26</v>
      </c>
      <c r="S47" s="362">
        <v>2.1796296653853995E-2</v>
      </c>
      <c r="T47" s="324">
        <v>1.0884396713241871E-2</v>
      </c>
      <c r="U47" s="324">
        <v>1.5838489316541386E-4</v>
      </c>
      <c r="V47" s="324">
        <v>3.6770450081310323E-2</v>
      </c>
      <c r="W47" s="153">
        <v>1E-4</v>
      </c>
      <c r="X47" s="154">
        <v>1.8207464949895347</v>
      </c>
      <c r="Y47" s="133">
        <f t="shared" si="1"/>
        <v>0.1195738712289765</v>
      </c>
      <c r="AA47" s="770"/>
      <c r="AB47" s="252">
        <v>90</v>
      </c>
      <c r="AC47" s="616">
        <v>0</v>
      </c>
      <c r="AD47" s="301">
        <v>-2.3E-2</v>
      </c>
      <c r="AE47" s="301">
        <v>1.9999999999999999E-6</v>
      </c>
      <c r="AF47" s="301">
        <v>-2.0000000000000001E-10</v>
      </c>
      <c r="AG47" s="617">
        <v>4.0000000000000003E-15</v>
      </c>
      <c r="AH47" s="260">
        <f t="shared" si="2"/>
        <v>-1.149950002499975E-2</v>
      </c>
      <c r="AI47" s="126">
        <f t="shared" si="3"/>
        <v>-1.0349550022499774</v>
      </c>
      <c r="AK47" s="773"/>
      <c r="AL47" s="272">
        <v>90</v>
      </c>
      <c r="AM47" s="279">
        <v>-3.2000000000000002E-3</v>
      </c>
      <c r="AN47" s="289">
        <v>1E-4</v>
      </c>
      <c r="AO47" s="289">
        <v>9.9999999999999995E-8</v>
      </c>
      <c r="AP47" s="289">
        <v>-1.9999999999999998E-21</v>
      </c>
      <c r="AQ47" s="281">
        <v>9.9999999999999996E-24</v>
      </c>
      <c r="AR47" s="260">
        <f t="shared" si="4"/>
        <v>-6.3750000000002737E-4</v>
      </c>
      <c r="AS47" s="126">
        <f t="shared" si="5"/>
        <v>-5.7375000000002466E-2</v>
      </c>
    </row>
    <row r="48" spans="2:45" ht="24" customHeight="1" thickBot="1" x14ac:dyDescent="0.3">
      <c r="B48" s="768"/>
      <c r="C48" s="495">
        <v>60</v>
      </c>
      <c r="D48" s="422">
        <v>0.01</v>
      </c>
      <c r="E48" s="423">
        <v>4.4826134394395518E-9</v>
      </c>
      <c r="F48" s="424">
        <v>2.814945287884365</v>
      </c>
      <c r="G48" s="128">
        <f t="shared" si="12"/>
        <v>0.97355169087605309</v>
      </c>
      <c r="H48" s="125">
        <f t="shared" si="13"/>
        <v>58.413101452563183</v>
      </c>
      <c r="J48" s="749"/>
      <c r="K48" s="185">
        <v>40</v>
      </c>
      <c r="L48" s="214">
        <v>185.01664550113637</v>
      </c>
      <c r="M48" s="187">
        <v>2.218</v>
      </c>
      <c r="N48" s="206">
        <v>1.3979436187134695</v>
      </c>
      <c r="O48" s="219">
        <f t="shared" si="15"/>
        <v>499.92758118166972</v>
      </c>
      <c r="Q48" s="739"/>
      <c r="R48" s="134">
        <v>60</v>
      </c>
      <c r="S48" s="640">
        <v>2.3348912137844874E-2</v>
      </c>
      <c r="T48" s="537">
        <v>0.01</v>
      </c>
      <c r="U48" s="537">
        <v>1.7740596449124092E-4</v>
      </c>
      <c r="V48" s="537">
        <v>2.1023592503931311E-2</v>
      </c>
      <c r="W48" s="537">
        <v>1.0718582351117493E-4</v>
      </c>
      <c r="X48" s="665">
        <v>1.3744993978911453</v>
      </c>
      <c r="Y48" s="137">
        <f t="shared" si="1"/>
        <v>0.3004290025797805</v>
      </c>
      <c r="AA48" s="771"/>
      <c r="AB48" s="256">
        <v>125</v>
      </c>
      <c r="AC48" s="396">
        <v>0</v>
      </c>
      <c r="AD48" s="296">
        <v>7.9999999999999996E-7</v>
      </c>
      <c r="AE48" s="296">
        <v>-8.0000000000000007E-5</v>
      </c>
      <c r="AF48" s="296">
        <v>5.0000000000000001E-3</v>
      </c>
      <c r="AG48" s="298">
        <v>-0.1</v>
      </c>
      <c r="AH48" s="260">
        <f t="shared" si="2"/>
        <v>-5.6446000000000005E-3</v>
      </c>
      <c r="AI48" s="126">
        <f t="shared" si="3"/>
        <v>-0.70557500000000006</v>
      </c>
      <c r="AK48" s="774"/>
      <c r="AL48" s="272">
        <v>125</v>
      </c>
      <c r="AM48" s="290">
        <v>-3.2000000000000002E-3</v>
      </c>
      <c r="AN48" s="280">
        <v>1.2999999999999999E-4</v>
      </c>
      <c r="AO48" s="280">
        <v>4.9999999999999998E-8</v>
      </c>
      <c r="AP48" s="280">
        <v>-3.9999999999999998E-11</v>
      </c>
      <c r="AQ48" s="291">
        <v>-9.0000000000000003E-16</v>
      </c>
      <c r="AR48" s="260">
        <f t="shared" si="4"/>
        <v>8.0624648437499692E-5</v>
      </c>
      <c r="AS48" s="126">
        <f t="shared" si="5"/>
        <v>1.0078081054687462E-2</v>
      </c>
    </row>
    <row r="49" spans="2:45" ht="24" customHeight="1" x14ac:dyDescent="0.25">
      <c r="B49" s="705" t="s">
        <v>7</v>
      </c>
      <c r="C49" s="498">
        <v>14</v>
      </c>
      <c r="D49" s="425">
        <v>0.01</v>
      </c>
      <c r="E49" s="417">
        <v>1.6568999999999999E-9</v>
      </c>
      <c r="F49" s="426">
        <v>2.4409999999999998</v>
      </c>
      <c r="G49" s="122">
        <f t="shared" si="12"/>
        <v>0.9976800780248688</v>
      </c>
      <c r="H49" s="126">
        <f t="shared" si="13"/>
        <v>13.967521092348163</v>
      </c>
      <c r="J49" s="749"/>
      <c r="K49" s="185">
        <v>60</v>
      </c>
      <c r="L49" s="214">
        <v>246.536</v>
      </c>
      <c r="M49" s="187">
        <v>2.218</v>
      </c>
      <c r="N49" s="188">
        <v>1.3109999999999999</v>
      </c>
      <c r="O49" s="219">
        <f t="shared" si="15"/>
        <v>449.99999999997107</v>
      </c>
      <c r="Q49" s="737" t="s">
        <v>7</v>
      </c>
      <c r="R49" s="149">
        <v>14</v>
      </c>
      <c r="S49" s="173">
        <v>3.9810592703876171E-2</v>
      </c>
      <c r="T49" s="153">
        <v>2.173827109977261E-2</v>
      </c>
      <c r="U49" s="131">
        <v>4.7445434236578977E-4</v>
      </c>
      <c r="V49" s="153">
        <v>0.17332178268492171</v>
      </c>
      <c r="W49" s="153">
        <v>3.4066922334988621E-4</v>
      </c>
      <c r="X49" s="154">
        <v>1.7494535083245022</v>
      </c>
      <c r="Y49" s="133">
        <f t="shared" ref="Y49:Y65" si="16">IF(T$6&gt;610,"out of range",IF(T$6="","",((S49+T49*T$6+U49*T$6^2)/(1+V49*T$6+W49*T$6^2))^X49))</f>
        <v>7.0673234129652762E-2</v>
      </c>
      <c r="AA49" s="769" t="s">
        <v>1</v>
      </c>
      <c r="AB49" s="250">
        <v>14</v>
      </c>
      <c r="AC49" s="397">
        <v>0</v>
      </c>
      <c r="AD49" s="254">
        <v>-2.32E-3</v>
      </c>
      <c r="AE49" s="299">
        <v>7.6300000000000001E-4</v>
      </c>
      <c r="AF49" s="254">
        <v>-5.0699999999999996E-4</v>
      </c>
      <c r="AG49" s="304">
        <v>3.1699999999999998E-5</v>
      </c>
      <c r="AH49" s="259">
        <f>IF(AD$6&gt;10,"out of range",IF($AD$6="","",AC49+AD49*$AD$6+AE49*$AD$6^2+AF49*$AD$6^3+AG49*$AD$6^4))</f>
        <v>-1.0306437500000002E-3</v>
      </c>
      <c r="AI49" s="123">
        <f>IF(AD$6&gt;10,"out of range",IF($AD$6=0,"",AH49*AB49))</f>
        <v>-1.4429012500000003E-2</v>
      </c>
      <c r="AK49" s="772" t="s">
        <v>1</v>
      </c>
      <c r="AL49" s="265">
        <v>14</v>
      </c>
      <c r="AM49" s="273">
        <v>-1.2999999999999999E-3</v>
      </c>
      <c r="AN49" s="287">
        <v>4.7500000000000003E-5</v>
      </c>
      <c r="AO49" s="274">
        <v>1.3E-7</v>
      </c>
      <c r="AP49" s="399">
        <v>0</v>
      </c>
      <c r="AQ49" s="400">
        <v>0</v>
      </c>
      <c r="AR49" s="259">
        <f t="shared" si="4"/>
        <v>-3.1249999999999974E-5</v>
      </c>
      <c r="AS49" s="123">
        <f>IF(OR(AN$6&lt;-60,AN$6&gt;200),"out of range",IF($AN$6="","",AR49*AL49))</f>
        <v>-4.3749999999999963E-4</v>
      </c>
    </row>
    <row r="50" spans="2:45" ht="24" customHeight="1" x14ac:dyDescent="0.25">
      <c r="B50" s="706"/>
      <c r="C50" s="499">
        <v>26</v>
      </c>
      <c r="D50" s="419">
        <v>0.01</v>
      </c>
      <c r="E50" s="420">
        <v>4.2046999999999998E-9</v>
      </c>
      <c r="F50" s="421">
        <v>2.4260000000000002</v>
      </c>
      <c r="G50" s="129">
        <f t="shared" si="12"/>
        <v>0.99446616435166735</v>
      </c>
      <c r="H50" s="124">
        <f t="shared" si="13"/>
        <v>25.85612027314335</v>
      </c>
      <c r="J50" s="749"/>
      <c r="K50" s="185">
        <v>75</v>
      </c>
      <c r="L50" s="214">
        <v>440.08123316088898</v>
      </c>
      <c r="M50" s="187">
        <v>2.218</v>
      </c>
      <c r="N50" s="206">
        <v>1.20978259329013</v>
      </c>
      <c r="O50" s="219">
        <f t="shared" si="15"/>
        <v>374.93777402152119</v>
      </c>
      <c r="Q50" s="735"/>
      <c r="R50" s="150">
        <v>26</v>
      </c>
      <c r="S50" s="156">
        <v>3.9686810611771102E-2</v>
      </c>
      <c r="T50" s="135">
        <v>1.9635887818832604E-2</v>
      </c>
      <c r="U50" s="135">
        <v>5.9308094982589606E-4</v>
      </c>
      <c r="V50" s="135">
        <v>0.11627803939468595</v>
      </c>
      <c r="W50" s="135">
        <v>4.0251549609307216E-4</v>
      </c>
      <c r="X50" s="136">
        <v>1.8279215827694026</v>
      </c>
      <c r="Y50" s="137">
        <f t="shared" si="16"/>
        <v>0.12473812788777429</v>
      </c>
      <c r="AA50" s="770"/>
      <c r="AB50" s="251">
        <v>26</v>
      </c>
      <c r="AC50" s="393">
        <v>0</v>
      </c>
      <c r="AD50" s="293">
        <v>-1.5599999999999999E-2</v>
      </c>
      <c r="AE50" s="293">
        <v>5.1900000000000002E-3</v>
      </c>
      <c r="AF50" s="293">
        <v>-1.16E-3</v>
      </c>
      <c r="AG50" s="294">
        <v>6.2299999999999996E-5</v>
      </c>
      <c r="AH50" s="260">
        <f t="shared" ref="AH50:AH58" si="17">IF(AD$6&gt;10,"out of range",IF($AD$6="","",AC50+AD50*$AD$6+AE50*$AD$6^2+AF50*$AD$6^3+AG50*$AD$6^4))</f>
        <v>-6.6436062499999997E-3</v>
      </c>
      <c r="AI50" s="126">
        <f t="shared" ref="AI50:AI58" si="18">IF(AD$6&gt;10,"out of range",IF($AD$6=0,"",AH50*AB50))</f>
        <v>-0.1727337625</v>
      </c>
      <c r="AK50" s="773"/>
      <c r="AL50" s="266">
        <v>26</v>
      </c>
      <c r="AM50" s="276">
        <v>-1.431E-3</v>
      </c>
      <c r="AN50" s="277">
        <v>5.2649999999999999E-5</v>
      </c>
      <c r="AO50" s="277">
        <v>1.8370000000000001E-7</v>
      </c>
      <c r="AP50" s="401">
        <v>0</v>
      </c>
      <c r="AQ50" s="402">
        <v>0</v>
      </c>
      <c r="AR50" s="260">
        <f t="shared" si="4"/>
        <v>6.2499999999954085E-8</v>
      </c>
      <c r="AS50" s="126">
        <f t="shared" ref="AS50:AS58" si="19">IF(OR(AN$6&lt;-60,AN$6&gt;200),"out of range",IF($AN$6="","",AR50*AL50))</f>
        <v>1.6249999999988062E-6</v>
      </c>
    </row>
    <row r="51" spans="2:45" ht="24" customHeight="1" x14ac:dyDescent="0.25">
      <c r="B51" s="706"/>
      <c r="C51" s="499">
        <v>40</v>
      </c>
      <c r="D51" s="419">
        <v>0.01</v>
      </c>
      <c r="E51" s="420">
        <v>1.8434466820745536E-8</v>
      </c>
      <c r="F51" s="421">
        <v>2.3584991696787521</v>
      </c>
      <c r="G51" s="129">
        <f t="shared" si="12"/>
        <v>0.98160970195442643</v>
      </c>
      <c r="H51" s="124">
        <f t="shared" si="13"/>
        <v>39.264388078177056</v>
      </c>
      <c r="J51" s="749"/>
      <c r="K51" s="185">
        <v>125</v>
      </c>
      <c r="L51" s="214">
        <v>184.43914544242816</v>
      </c>
      <c r="M51" s="187">
        <v>2.218</v>
      </c>
      <c r="N51" s="206">
        <v>1.4276184399742189</v>
      </c>
      <c r="O51" s="219">
        <f t="shared" si="15"/>
        <v>424.99999431240116</v>
      </c>
      <c r="Q51" s="735"/>
      <c r="R51" s="150">
        <v>40</v>
      </c>
      <c r="S51" s="156">
        <v>4.8839206681226321E-2</v>
      </c>
      <c r="T51" s="135">
        <v>0.01</v>
      </c>
      <c r="U51" s="135">
        <v>2.4905119556394776E-4</v>
      </c>
      <c r="V51" s="135">
        <v>3.7722483294571632E-2</v>
      </c>
      <c r="W51" s="135">
        <v>1.6066847336588795E-4</v>
      </c>
      <c r="X51" s="136">
        <v>1.5810135809935077</v>
      </c>
      <c r="Y51" s="137">
        <f t="shared" si="16"/>
        <v>0.19562745252969291</v>
      </c>
      <c r="AA51" s="770"/>
      <c r="AB51" s="251">
        <v>60</v>
      </c>
      <c r="AC51" s="393">
        <v>0</v>
      </c>
      <c r="AD51" s="293">
        <v>-1.8200000000000001E-2</v>
      </c>
      <c r="AE51" s="293">
        <v>4.3200000000000001E-3</v>
      </c>
      <c r="AF51" s="293">
        <v>-9.7799999999999992E-4</v>
      </c>
      <c r="AG51" s="294">
        <v>5.3600000000000002E-5</v>
      </c>
      <c r="AH51" s="260">
        <f t="shared" si="17"/>
        <v>-8.1389000000000027E-3</v>
      </c>
      <c r="AI51" s="126">
        <f t="shared" si="18"/>
        <v>-0.48833400000000016</v>
      </c>
      <c r="AK51" s="773"/>
      <c r="AL51" s="266">
        <v>60</v>
      </c>
      <c r="AM51" s="276">
        <v>-1.604E-3</v>
      </c>
      <c r="AN51" s="277">
        <v>5.9450000000000002E-5</v>
      </c>
      <c r="AO51" s="277">
        <v>1.875E-7</v>
      </c>
      <c r="AP51" s="401">
        <v>0</v>
      </c>
      <c r="AQ51" s="402">
        <v>0</v>
      </c>
      <c r="AR51" s="260">
        <f t="shared" si="4"/>
        <v>-5.625000000000069E-7</v>
      </c>
      <c r="AS51" s="126">
        <f t="shared" si="19"/>
        <v>-3.3750000000000414E-5</v>
      </c>
    </row>
    <row r="52" spans="2:45" ht="24" customHeight="1" x14ac:dyDescent="0.25">
      <c r="B52" s="706"/>
      <c r="C52" s="499">
        <v>60</v>
      </c>
      <c r="D52" s="419">
        <v>0.01</v>
      </c>
      <c r="E52" s="420">
        <v>6.4126000000000001E-8</v>
      </c>
      <c r="F52" s="421">
        <v>2.2905047710416975</v>
      </c>
      <c r="G52" s="345">
        <f t="shared" si="12"/>
        <v>0.95242656069489784</v>
      </c>
      <c r="H52" s="124">
        <f t="shared" si="13"/>
        <v>57.145593641693871</v>
      </c>
      <c r="J52" s="749"/>
      <c r="K52" s="185">
        <v>147</v>
      </c>
      <c r="L52" s="214">
        <v>184.43914544242816</v>
      </c>
      <c r="M52" s="187">
        <v>2.218</v>
      </c>
      <c r="N52" s="206">
        <v>1.4276184399742189</v>
      </c>
      <c r="O52" s="219">
        <f t="shared" si="15"/>
        <v>499.99985282614432</v>
      </c>
      <c r="Q52" s="735"/>
      <c r="R52" s="150">
        <v>60</v>
      </c>
      <c r="S52" s="156">
        <v>3.828127954549973E-2</v>
      </c>
      <c r="T52" s="135">
        <v>1.7997328622547493E-2</v>
      </c>
      <c r="U52" s="135">
        <v>7.012166506159248E-4</v>
      </c>
      <c r="V52" s="135">
        <v>7.0633122549764629E-2</v>
      </c>
      <c r="W52" s="135">
        <v>4.5017670748097826E-4</v>
      </c>
      <c r="X52" s="136">
        <v>1.6303084011488178</v>
      </c>
      <c r="Y52" s="137">
        <f t="shared" si="16"/>
        <v>0.29783923375114585</v>
      </c>
      <c r="AA52" s="770"/>
      <c r="AB52" s="251">
        <v>125</v>
      </c>
      <c r="AC52" s="393">
        <v>0</v>
      </c>
      <c r="AD52" s="293">
        <v>-8.43E-2</v>
      </c>
      <c r="AE52" s="293">
        <v>1.5900000000000001E-2</v>
      </c>
      <c r="AF52" s="293">
        <v>-2.2699999999999999E-3</v>
      </c>
      <c r="AG52" s="294">
        <v>1.08E-4</v>
      </c>
      <c r="AH52" s="260">
        <f t="shared" si="17"/>
        <v>-3.8452E-2</v>
      </c>
      <c r="AI52" s="126">
        <f t="shared" si="18"/>
        <v>-4.8064999999999998</v>
      </c>
      <c r="AK52" s="773"/>
      <c r="AL52" s="266">
        <v>125</v>
      </c>
      <c r="AM52" s="276">
        <v>-1.939E-3</v>
      </c>
      <c r="AN52" s="277">
        <v>7.0129999999999994E-5</v>
      </c>
      <c r="AO52" s="277">
        <v>2.967E-7</v>
      </c>
      <c r="AP52" s="401">
        <v>0</v>
      </c>
      <c r="AQ52" s="402">
        <v>0</v>
      </c>
      <c r="AR52" s="260">
        <f t="shared" si="4"/>
        <v>-3.125000000001499E-7</v>
      </c>
      <c r="AS52" s="126">
        <f t="shared" si="19"/>
        <v>-3.9062500000018737E-5</v>
      </c>
    </row>
    <row r="53" spans="2:45" ht="24" customHeight="1" thickBot="1" x14ac:dyDescent="0.3">
      <c r="B53" s="706"/>
      <c r="C53" s="499">
        <v>75</v>
      </c>
      <c r="D53" s="419">
        <v>0.01</v>
      </c>
      <c r="E53" s="420">
        <v>4.8837546153126693E-8</v>
      </c>
      <c r="F53" s="421">
        <v>2.4407276777761937</v>
      </c>
      <c r="G53" s="129">
        <f t="shared" si="12"/>
        <v>0.93592094278802662</v>
      </c>
      <c r="H53" s="124">
        <f t="shared" si="13"/>
        <v>70.194070709101993</v>
      </c>
      <c r="J53" s="749"/>
      <c r="K53" s="190">
        <v>160</v>
      </c>
      <c r="L53" s="222">
        <v>184.43914544242816</v>
      </c>
      <c r="M53" s="199">
        <v>2.218</v>
      </c>
      <c r="N53" s="211">
        <v>1.4276184399742189</v>
      </c>
      <c r="O53" s="219">
        <f t="shared" si="15"/>
        <v>499.99985282614432</v>
      </c>
      <c r="Q53" s="735"/>
      <c r="R53" s="150">
        <v>75</v>
      </c>
      <c r="S53" s="156">
        <v>3.8199999999999998E-2</v>
      </c>
      <c r="T53" s="135">
        <v>1.7746106255338758E-2</v>
      </c>
      <c r="U53" s="135">
        <v>7.0120000000000002E-4</v>
      </c>
      <c r="V53" s="135">
        <v>5.9287244397651442E-2</v>
      </c>
      <c r="W53" s="135">
        <v>4.3521373898134622E-4</v>
      </c>
      <c r="X53" s="136">
        <v>1.5541708794973266</v>
      </c>
      <c r="Y53" s="137">
        <f t="shared" si="16"/>
        <v>0.37296051873103836</v>
      </c>
      <c r="AA53" s="770"/>
      <c r="AB53" s="251">
        <v>147</v>
      </c>
      <c r="AC53" s="393">
        <v>0</v>
      </c>
      <c r="AD53" s="293">
        <v>-0.111</v>
      </c>
      <c r="AE53" s="293">
        <v>2.0400000000000001E-2</v>
      </c>
      <c r="AF53" s="293">
        <v>-2.81E-3</v>
      </c>
      <c r="AG53" s="294">
        <v>1.2999999999999999E-4</v>
      </c>
      <c r="AH53" s="260">
        <f t="shared" si="17"/>
        <v>-5.0743125E-2</v>
      </c>
      <c r="AI53" s="126">
        <f t="shared" si="18"/>
        <v>-7.4592393750000001</v>
      </c>
      <c r="AK53" s="773"/>
      <c r="AL53" s="266">
        <v>147</v>
      </c>
      <c r="AM53" s="276">
        <v>-2.3080000000000002E-3</v>
      </c>
      <c r="AN53" s="277">
        <v>8.4969999999999995E-5</v>
      </c>
      <c r="AO53" s="277">
        <v>2.9429999999999998E-7</v>
      </c>
      <c r="AP53" s="401">
        <v>0</v>
      </c>
      <c r="AQ53" s="402">
        <v>0</v>
      </c>
      <c r="AR53" s="260">
        <f t="shared" si="4"/>
        <v>1.8749999999967252E-7</v>
      </c>
      <c r="AS53" s="126">
        <f t="shared" si="19"/>
        <v>2.7562499999951861E-5</v>
      </c>
    </row>
    <row r="54" spans="2:45" ht="24" customHeight="1" x14ac:dyDescent="0.25">
      <c r="B54" s="706"/>
      <c r="C54" s="499">
        <v>90</v>
      </c>
      <c r="D54" s="419">
        <v>0.01</v>
      </c>
      <c r="E54" s="420">
        <v>9.6933744737284103E-8</v>
      </c>
      <c r="F54" s="421">
        <v>2.3909109013763494</v>
      </c>
      <c r="G54" s="347">
        <f t="shared" si="12"/>
        <v>0.89941754110539318</v>
      </c>
      <c r="H54" s="124">
        <f t="shared" si="13"/>
        <v>80.947578699485391</v>
      </c>
      <c r="J54" s="766" t="s">
        <v>21</v>
      </c>
      <c r="K54" s="374">
        <v>14</v>
      </c>
      <c r="L54" s="213">
        <v>212.96318633211752</v>
      </c>
      <c r="M54" s="207">
        <v>2.2626297986747002</v>
      </c>
      <c r="N54" s="208">
        <v>1.3897116512872745</v>
      </c>
      <c r="O54" s="196">
        <f t="shared" si="15"/>
        <v>714.95695394894221</v>
      </c>
      <c r="Q54" s="735"/>
      <c r="R54" s="150">
        <v>90</v>
      </c>
      <c r="S54" s="156">
        <v>2.3030567438702999E-2</v>
      </c>
      <c r="T54" s="135">
        <v>1.0001419072324515E-2</v>
      </c>
      <c r="U54" s="135">
        <v>2.272384306135298E-4</v>
      </c>
      <c r="V54" s="135">
        <v>1.8031611640885958E-2</v>
      </c>
      <c r="W54" s="135">
        <v>1.2826562176192549E-4</v>
      </c>
      <c r="X54" s="136">
        <v>1.1555786102916887</v>
      </c>
      <c r="Y54" s="137">
        <f t="shared" si="16"/>
        <v>0.43959738093442474</v>
      </c>
      <c r="AA54" s="770"/>
      <c r="AB54" s="251">
        <v>160</v>
      </c>
      <c r="AC54" s="393">
        <v>0</v>
      </c>
      <c r="AD54" s="293">
        <v>-0.129</v>
      </c>
      <c r="AE54" s="293">
        <v>2.3900000000000001E-2</v>
      </c>
      <c r="AF54" s="293">
        <v>-3.0799999999999998E-3</v>
      </c>
      <c r="AG54" s="294">
        <v>1.4100000000000001E-4</v>
      </c>
      <c r="AH54" s="260">
        <f t="shared" si="17"/>
        <v>-5.8901187500000007E-2</v>
      </c>
      <c r="AI54" s="126">
        <f t="shared" si="18"/>
        <v>-9.4241900000000012</v>
      </c>
      <c r="AK54" s="773"/>
      <c r="AL54" s="266">
        <v>160</v>
      </c>
      <c r="AM54" s="276">
        <v>-2.3080000000000002E-3</v>
      </c>
      <c r="AN54" s="277">
        <v>8.4969999999999995E-5</v>
      </c>
      <c r="AO54" s="277">
        <v>2.9429999999999998E-7</v>
      </c>
      <c r="AP54" s="401">
        <v>0</v>
      </c>
      <c r="AQ54" s="402">
        <v>0</v>
      </c>
      <c r="AR54" s="260">
        <f t="shared" si="4"/>
        <v>1.8749999999967252E-7</v>
      </c>
      <c r="AS54" s="126">
        <f t="shared" si="19"/>
        <v>2.9999999999947603E-5</v>
      </c>
    </row>
    <row r="55" spans="2:45" ht="24" customHeight="1" thickBot="1" x14ac:dyDescent="0.3">
      <c r="B55" s="706"/>
      <c r="C55" s="499">
        <v>125</v>
      </c>
      <c r="D55" s="419">
        <v>0.01</v>
      </c>
      <c r="E55" s="420">
        <v>1.4027E-7</v>
      </c>
      <c r="F55" s="421">
        <v>2.4653666630338531</v>
      </c>
      <c r="G55" s="347">
        <f t="shared" si="12"/>
        <v>0.8219997903083851</v>
      </c>
      <c r="H55" s="124">
        <f t="shared" si="13"/>
        <v>102.74997378854813</v>
      </c>
      <c r="J55" s="749"/>
      <c r="K55" s="375">
        <v>19</v>
      </c>
      <c r="L55" s="379">
        <v>200.53075310001961</v>
      </c>
      <c r="M55" s="378">
        <v>2.2626297986747002</v>
      </c>
      <c r="N55" s="380">
        <v>1.3693000321172246</v>
      </c>
      <c r="O55" s="204">
        <f t="shared" si="15"/>
        <v>499.99997584111935</v>
      </c>
      <c r="Q55" s="735"/>
      <c r="R55" s="150">
        <v>125</v>
      </c>
      <c r="S55" s="156">
        <v>3.7901260334453242E-2</v>
      </c>
      <c r="T55" s="135">
        <v>2.125769808227642E-2</v>
      </c>
      <c r="U55" s="135">
        <v>7.0801447472926932E-4</v>
      </c>
      <c r="V55" s="135">
        <v>4.1385119534877494E-2</v>
      </c>
      <c r="W55" s="135">
        <v>4.2228222983575411E-4</v>
      </c>
      <c r="X55" s="136">
        <v>1.4327407901419182</v>
      </c>
      <c r="Y55" s="137">
        <f t="shared" si="16"/>
        <v>0.59493173309748626</v>
      </c>
      <c r="AA55" s="770"/>
      <c r="AB55" s="251">
        <v>173</v>
      </c>
      <c r="AC55" s="393">
        <v>0</v>
      </c>
      <c r="AD55" s="293">
        <v>-0.129</v>
      </c>
      <c r="AE55" s="293">
        <v>2.3900000000000001E-2</v>
      </c>
      <c r="AF55" s="293">
        <v>-3.0799999999999998E-3</v>
      </c>
      <c r="AG55" s="294">
        <v>1.4100000000000001E-4</v>
      </c>
      <c r="AH55" s="260">
        <f t="shared" si="17"/>
        <v>-5.8901187500000007E-2</v>
      </c>
      <c r="AI55" s="126">
        <f t="shared" si="18"/>
        <v>-10.189905437500002</v>
      </c>
      <c r="AK55" s="773"/>
      <c r="AL55" s="266">
        <v>173</v>
      </c>
      <c r="AM55" s="276">
        <v>-2.3080000000000002E-3</v>
      </c>
      <c r="AN55" s="277">
        <v>8.4969999999999995E-5</v>
      </c>
      <c r="AO55" s="277">
        <v>2.9429999999999998E-7</v>
      </c>
      <c r="AP55" s="401">
        <v>0</v>
      </c>
      <c r="AQ55" s="402">
        <v>0</v>
      </c>
      <c r="AR55" s="260">
        <f t="shared" si="4"/>
        <v>1.8749999999967252E-7</v>
      </c>
      <c r="AS55" s="126">
        <f t="shared" si="19"/>
        <v>3.2437499999943346E-5</v>
      </c>
    </row>
    <row r="56" spans="2:45" ht="24" customHeight="1" x14ac:dyDescent="0.25">
      <c r="B56" s="706"/>
      <c r="C56" s="499">
        <v>147</v>
      </c>
      <c r="D56" s="431">
        <v>0.01</v>
      </c>
      <c r="E56" s="428">
        <v>8.1545651777442308E-8</v>
      </c>
      <c r="F56" s="429">
        <v>2.7138308977134478</v>
      </c>
      <c r="G56" s="129">
        <f t="shared" si="12"/>
        <v>0.75032825299779082</v>
      </c>
      <c r="H56" s="124">
        <f t="shared" si="13"/>
        <v>110.29825319067525</v>
      </c>
      <c r="J56" s="749"/>
      <c r="K56" s="376">
        <v>26</v>
      </c>
      <c r="L56" s="381">
        <v>207.89937390221849</v>
      </c>
      <c r="M56" s="209">
        <v>2.2626297986747002</v>
      </c>
      <c r="N56" s="206">
        <v>1.3218418574157076</v>
      </c>
      <c r="O56" s="225">
        <f t="shared" si="15"/>
        <v>899.99620694756561</v>
      </c>
      <c r="Q56" s="735"/>
      <c r="R56" s="150">
        <v>147</v>
      </c>
      <c r="S56" s="156">
        <v>3.2367215710104473E-2</v>
      </c>
      <c r="T56" s="135">
        <v>1.7357934479181381E-2</v>
      </c>
      <c r="U56" s="135">
        <v>3.1920952639046527E-4</v>
      </c>
      <c r="V56" s="135">
        <v>1.5863170697050816E-2</v>
      </c>
      <c r="W56" s="135">
        <v>2.1467056601728675E-4</v>
      </c>
      <c r="X56" s="136">
        <v>1.2167310542279024</v>
      </c>
      <c r="Y56" s="137">
        <f t="shared" si="16"/>
        <v>0.68065327921581464</v>
      </c>
      <c r="AA56" s="770"/>
      <c r="AB56" s="251">
        <v>200</v>
      </c>
      <c r="AC56" s="393">
        <v>0</v>
      </c>
      <c r="AD56" s="293">
        <v>-0.161</v>
      </c>
      <c r="AE56" s="293">
        <v>3.8199999999999998E-2</v>
      </c>
      <c r="AF56" s="293">
        <v>-5.1700000000000001E-3</v>
      </c>
      <c r="AG56" s="294">
        <v>2.1599999999999999E-4</v>
      </c>
      <c r="AH56" s="260">
        <f t="shared" si="17"/>
        <v>-7.1582750000000001E-2</v>
      </c>
      <c r="AI56" s="126">
        <f t="shared" si="18"/>
        <v>-14.316549999999999</v>
      </c>
      <c r="AK56" s="773"/>
      <c r="AL56" s="266">
        <v>200</v>
      </c>
      <c r="AM56" s="276">
        <v>-2.5279999999999999E-3</v>
      </c>
      <c r="AN56" s="277">
        <v>9.2109999999999997E-5</v>
      </c>
      <c r="AO56" s="277">
        <v>3.601E-7</v>
      </c>
      <c r="AP56" s="401">
        <v>0</v>
      </c>
      <c r="AQ56" s="402">
        <v>0</v>
      </c>
      <c r="AR56" s="260">
        <f t="shared" si="4"/>
        <v>-1.8749999999975384E-7</v>
      </c>
      <c r="AS56" s="126">
        <f t="shared" si="19"/>
        <v>-3.7499999999950767E-5</v>
      </c>
    </row>
    <row r="57" spans="2:45" ht="24" customHeight="1" thickBot="1" x14ac:dyDescent="0.3">
      <c r="B57" s="706"/>
      <c r="C57" s="500">
        <v>160</v>
      </c>
      <c r="D57" s="436">
        <v>0.01</v>
      </c>
      <c r="E57" s="423">
        <v>1.6709244115371253E-7</v>
      </c>
      <c r="F57" s="424">
        <v>2.5719913937018628</v>
      </c>
      <c r="G57" s="334">
        <f t="shared" si="12"/>
        <v>0.71866697246874789</v>
      </c>
      <c r="H57" s="127">
        <f t="shared" si="13"/>
        <v>114.98671559499967</v>
      </c>
      <c r="J57" s="749"/>
      <c r="K57" s="376">
        <v>40</v>
      </c>
      <c r="L57" s="379">
        <v>150.39806482501052</v>
      </c>
      <c r="M57" s="378">
        <v>2.2626297986747002</v>
      </c>
      <c r="N57" s="380">
        <v>1.3693000321172306</v>
      </c>
      <c r="O57" s="225">
        <f t="shared" si="15"/>
        <v>899.99620694756561</v>
      </c>
      <c r="Q57" s="735"/>
      <c r="R57" s="151">
        <v>160</v>
      </c>
      <c r="S57" s="180">
        <v>1.1712426881687268E-2</v>
      </c>
      <c r="T57" s="139">
        <v>2.1655277606832144E-2</v>
      </c>
      <c r="U57" s="143">
        <v>2.7117375981611518E-8</v>
      </c>
      <c r="V57" s="139">
        <v>7.1293884178633676E-3</v>
      </c>
      <c r="W57" s="143">
        <v>2.7175893629947103E-5</v>
      </c>
      <c r="X57" s="144">
        <v>1.2063113625923276</v>
      </c>
      <c r="Y57" s="169">
        <f t="shared" si="16"/>
        <v>0.72777340413505553</v>
      </c>
      <c r="AA57" s="770"/>
      <c r="AB57" s="251">
        <v>300</v>
      </c>
      <c r="AC57" s="393">
        <v>0</v>
      </c>
      <c r="AD57" s="293">
        <v>-0.25900000000000001</v>
      </c>
      <c r="AE57" s="293">
        <v>5.57E-2</v>
      </c>
      <c r="AF57" s="293">
        <v>-6.5300000000000002E-3</v>
      </c>
      <c r="AG57" s="294">
        <v>2.7799999999999998E-4</v>
      </c>
      <c r="AH57" s="260">
        <f t="shared" si="17"/>
        <v>-0.11637387500000002</v>
      </c>
      <c r="AI57" s="126">
        <f t="shared" si="18"/>
        <v>-34.912162500000008</v>
      </c>
      <c r="AK57" s="773"/>
      <c r="AL57" s="266">
        <v>300</v>
      </c>
      <c r="AM57" s="276">
        <v>-2.5279999999999999E-3</v>
      </c>
      <c r="AN57" s="277">
        <v>9.2109999999999997E-5</v>
      </c>
      <c r="AO57" s="277">
        <v>3.601E-7</v>
      </c>
      <c r="AP57" s="401">
        <v>0</v>
      </c>
      <c r="AQ57" s="402">
        <v>0</v>
      </c>
      <c r="AR57" s="260">
        <f t="shared" si="4"/>
        <v>-1.8749999999975384E-7</v>
      </c>
      <c r="AS57" s="126">
        <f t="shared" si="19"/>
        <v>-5.6249999999926151E-5</v>
      </c>
    </row>
    <row r="58" spans="2:45" ht="24" customHeight="1" thickBot="1" x14ac:dyDescent="0.3">
      <c r="B58" s="705" t="s">
        <v>21</v>
      </c>
      <c r="C58" s="501">
        <v>14</v>
      </c>
      <c r="D58" s="437">
        <v>0.01</v>
      </c>
      <c r="E58" s="438">
        <v>1.1728541393595082E-11</v>
      </c>
      <c r="F58" s="439">
        <v>3.1062837195053898</v>
      </c>
      <c r="G58" s="345">
        <f t="shared" si="12"/>
        <v>0.99977785815036324</v>
      </c>
      <c r="H58" s="123">
        <f t="shared" si="13"/>
        <v>13.996890014105086</v>
      </c>
      <c r="J58" s="749"/>
      <c r="K58" s="374">
        <v>60</v>
      </c>
      <c r="L58" s="381">
        <v>156.17926222383329</v>
      </c>
      <c r="M58" s="209">
        <v>2.2626297986747002</v>
      </c>
      <c r="N58" s="206">
        <v>1.3214828142135298</v>
      </c>
      <c r="O58" s="219">
        <f t="shared" si="15"/>
        <v>599.98450627725845</v>
      </c>
      <c r="Q58" s="737" t="s">
        <v>21</v>
      </c>
      <c r="R58" s="634">
        <v>14</v>
      </c>
      <c r="S58" s="173">
        <v>0.10985130449318997</v>
      </c>
      <c r="T58" s="324">
        <v>2.4421076284719345E-2</v>
      </c>
      <c r="U58" s="153">
        <v>3.4646505722720411E-4</v>
      </c>
      <c r="V58" s="153">
        <v>0.1154393616891647</v>
      </c>
      <c r="W58" s="324">
        <v>2.4510524457446113E-4</v>
      </c>
      <c r="X58" s="320">
        <v>2.1796956703632455</v>
      </c>
      <c r="Y58" s="133">
        <f t="shared" si="16"/>
        <v>7.1188415017732196E-2</v>
      </c>
      <c r="AA58" s="771"/>
      <c r="AB58" s="252">
        <v>550</v>
      </c>
      <c r="AC58" s="398">
        <v>0</v>
      </c>
      <c r="AD58" s="296">
        <v>-0.45900000000000002</v>
      </c>
      <c r="AE58" s="296">
        <v>-3.3</v>
      </c>
      <c r="AF58" s="296">
        <v>8.14</v>
      </c>
      <c r="AG58" s="297">
        <v>-5.73</v>
      </c>
      <c r="AH58" s="264">
        <f t="shared" si="17"/>
        <v>-0.39512499999999995</v>
      </c>
      <c r="AI58" s="262">
        <f t="shared" si="18"/>
        <v>-217.31874999999997</v>
      </c>
      <c r="AK58" s="774"/>
      <c r="AL58" s="267">
        <v>550</v>
      </c>
      <c r="AM58" s="284">
        <v>-1.3089999999999999E-2</v>
      </c>
      <c r="AN58" s="280">
        <v>4.7160000000000002E-4</v>
      </c>
      <c r="AO58" s="280">
        <v>2.086E-6</v>
      </c>
      <c r="AP58" s="403">
        <v>0</v>
      </c>
      <c r="AQ58" s="404">
        <v>0</v>
      </c>
      <c r="AR58" s="264">
        <f t="shared" si="4"/>
        <v>3.7500000000009314E-6</v>
      </c>
      <c r="AS58" s="125">
        <f t="shared" si="19"/>
        <v>2.0625000000005123E-3</v>
      </c>
    </row>
    <row r="59" spans="2:45" ht="24" customHeight="1" x14ac:dyDescent="0.25">
      <c r="B59" s="706"/>
      <c r="C59" s="635">
        <v>19</v>
      </c>
      <c r="D59" s="437">
        <v>0.01</v>
      </c>
      <c r="E59" s="438">
        <v>6.3934107814067401E-11</v>
      </c>
      <c r="F59" s="440">
        <v>2.9495396947138968</v>
      </c>
      <c r="G59" s="129">
        <f t="shared" si="12"/>
        <v>0.99934441762719139</v>
      </c>
      <c r="H59" s="124">
        <f t="shared" si="13"/>
        <v>18.987543934916637</v>
      </c>
      <c r="J59" s="749"/>
      <c r="K59" s="376">
        <v>75</v>
      </c>
      <c r="L59" s="379">
        <v>121.4710333990889</v>
      </c>
      <c r="M59" s="378">
        <v>2.2626297986747002</v>
      </c>
      <c r="N59" s="380">
        <v>1.4032729983525813</v>
      </c>
      <c r="O59" s="219">
        <f t="shared" si="15"/>
        <v>599.98450627725845</v>
      </c>
      <c r="Q59" s="735"/>
      <c r="R59" s="322">
        <v>19</v>
      </c>
      <c r="S59" s="323">
        <v>0.12845402830385322</v>
      </c>
      <c r="T59" s="135">
        <v>1.6903375945497106E-2</v>
      </c>
      <c r="U59" s="135">
        <v>2.4500366628584788E-4</v>
      </c>
      <c r="V59" s="170">
        <v>6.4710558617417563E-2</v>
      </c>
      <c r="W59" s="143">
        <v>1.6900037446991719E-4</v>
      </c>
      <c r="X59" s="144">
        <v>2.1990175798760214</v>
      </c>
      <c r="Y59" s="137">
        <f t="shared" si="16"/>
        <v>9.3575329645983155E-2</v>
      </c>
      <c r="AB59" s="2"/>
      <c r="AH59" s="2"/>
      <c r="AI59" s="2"/>
      <c r="AS59" s="2"/>
    </row>
    <row r="60" spans="2:45" ht="24" customHeight="1" x14ac:dyDescent="0.25">
      <c r="B60" s="706"/>
      <c r="C60" s="494">
        <v>26</v>
      </c>
      <c r="D60" s="437">
        <v>0.01</v>
      </c>
      <c r="E60" s="438">
        <v>3.6455655264443349E-11</v>
      </c>
      <c r="F60" s="440">
        <v>3.1921264058492484</v>
      </c>
      <c r="G60" s="345">
        <f t="shared" si="12"/>
        <v>0.99903467737412199</v>
      </c>
      <c r="H60" s="124">
        <f t="shared" si="13"/>
        <v>25.974901611727173</v>
      </c>
      <c r="J60" s="749"/>
      <c r="K60" s="374">
        <v>90</v>
      </c>
      <c r="L60" s="381">
        <v>481.76598035310855</v>
      </c>
      <c r="M60" s="209">
        <v>2.2626297986747002</v>
      </c>
      <c r="N60" s="206">
        <v>1.139381772952244</v>
      </c>
      <c r="O60" s="219">
        <f t="shared" si="15"/>
        <v>450.02468380056604</v>
      </c>
      <c r="Q60" s="735"/>
      <c r="R60" s="326">
        <v>26</v>
      </c>
      <c r="S60" s="172">
        <v>5.3944029613262306E-2</v>
      </c>
      <c r="T60" s="135">
        <v>1.1622669309447293E-2</v>
      </c>
      <c r="U60" s="170">
        <v>4.9213503977137911E-4</v>
      </c>
      <c r="V60" s="143">
        <v>0.11084141702496232</v>
      </c>
      <c r="W60" s="135">
        <v>2.7246967087297914E-4</v>
      </c>
      <c r="X60" s="144">
        <v>1.5331683721708982</v>
      </c>
      <c r="Y60" s="137">
        <f t="shared" si="16"/>
        <v>0.12547671405205502</v>
      </c>
    </row>
    <row r="61" spans="2:45" ht="24" customHeight="1" thickBot="1" x14ac:dyDescent="0.3">
      <c r="B61" s="706"/>
      <c r="C61" s="493">
        <v>40</v>
      </c>
      <c r="D61" s="437">
        <v>0.01</v>
      </c>
      <c r="E61" s="438">
        <v>2.5917255804185855E-9</v>
      </c>
      <c r="F61" s="440">
        <v>2.6830253479767641</v>
      </c>
      <c r="G61" s="347">
        <f t="shared" si="12"/>
        <v>0.99071213096031796</v>
      </c>
      <c r="H61" s="124">
        <f t="shared" si="13"/>
        <v>39.628485238412722</v>
      </c>
      <c r="J61" s="750"/>
      <c r="K61" s="377">
        <v>125</v>
      </c>
      <c r="L61" s="215">
        <v>481.76598035310855</v>
      </c>
      <c r="M61" s="216">
        <v>2.2626297986747002</v>
      </c>
      <c r="N61" s="217">
        <v>1.139381772952244</v>
      </c>
      <c r="O61" s="219">
        <f t="shared" si="15"/>
        <v>499.99997340175435</v>
      </c>
      <c r="Q61" s="735"/>
      <c r="R61" s="326">
        <v>40</v>
      </c>
      <c r="S61" s="172">
        <v>1E-3</v>
      </c>
      <c r="T61" s="135">
        <v>2.0763543337132075E-3</v>
      </c>
      <c r="U61" s="135">
        <v>2.4544225241483204E-5</v>
      </c>
      <c r="V61" s="135">
        <v>2.5892983844100978E-3</v>
      </c>
      <c r="W61" s="135">
        <v>1.298785164041313E-5</v>
      </c>
      <c r="X61" s="144">
        <v>0.83324765414523461</v>
      </c>
      <c r="Y61" s="137">
        <f t="shared" si="16"/>
        <v>0.19780299372807986</v>
      </c>
    </row>
    <row r="62" spans="2:45" ht="24" customHeight="1" x14ac:dyDescent="0.25">
      <c r="B62" s="706"/>
      <c r="C62" s="494">
        <v>60</v>
      </c>
      <c r="D62" s="437">
        <v>0.01</v>
      </c>
      <c r="E62" s="438">
        <v>9.2023777337187077E-10</v>
      </c>
      <c r="F62" s="440">
        <v>3.0436198518257798</v>
      </c>
      <c r="G62" s="347">
        <f t="shared" si="12"/>
        <v>0.9865403507695315</v>
      </c>
      <c r="H62" s="124">
        <f t="shared" si="13"/>
        <v>59.192421046171887</v>
      </c>
      <c r="J62" s="754" t="s">
        <v>42</v>
      </c>
      <c r="K62" s="192">
        <v>26</v>
      </c>
      <c r="L62" s="242">
        <v>83.23</v>
      </c>
      <c r="M62" s="182">
        <v>2.1059999999999999</v>
      </c>
      <c r="N62" s="229">
        <v>1.52</v>
      </c>
      <c r="O62" s="219">
        <f t="shared" si="15"/>
        <v>600.00000793496577</v>
      </c>
      <c r="Q62" s="735"/>
      <c r="R62" s="325">
        <v>60</v>
      </c>
      <c r="S62" s="172">
        <v>1E-3</v>
      </c>
      <c r="T62" s="135">
        <v>4.9888828916170077E-3</v>
      </c>
      <c r="U62" s="135">
        <v>2.1551427121158535E-5</v>
      </c>
      <c r="V62" s="170">
        <v>1E-3</v>
      </c>
      <c r="W62" s="135">
        <v>1.5822238246267504E-5</v>
      </c>
      <c r="X62" s="136">
        <v>0.94859445268449916</v>
      </c>
      <c r="Y62" s="137">
        <f t="shared" si="16"/>
        <v>0.29823545751018232</v>
      </c>
    </row>
    <row r="63" spans="2:45" ht="24" customHeight="1" thickBot="1" x14ac:dyDescent="0.3">
      <c r="B63" s="706"/>
      <c r="C63" s="496">
        <v>75</v>
      </c>
      <c r="D63" s="437">
        <v>0.01</v>
      </c>
      <c r="E63" s="438">
        <v>1.580163650667031E-9</v>
      </c>
      <c r="F63" s="440">
        <v>3.0671238682359068</v>
      </c>
      <c r="G63" s="347">
        <f t="shared" si="12"/>
        <v>0.97495966313726978</v>
      </c>
      <c r="H63" s="124">
        <f t="shared" si="13"/>
        <v>73.12197473529524</v>
      </c>
      <c r="J63" s="755"/>
      <c r="K63" s="185">
        <v>60</v>
      </c>
      <c r="L63" s="630">
        <v>82.63856659902531</v>
      </c>
      <c r="M63" s="223">
        <v>2.1059999999999999</v>
      </c>
      <c r="N63" s="382">
        <v>1.4438936038984529</v>
      </c>
      <c r="O63" s="219">
        <f t="shared" si="15"/>
        <v>650.02492039918195</v>
      </c>
      <c r="Q63" s="735"/>
      <c r="R63" s="318">
        <v>75</v>
      </c>
      <c r="S63" s="172">
        <v>1E-3</v>
      </c>
      <c r="T63" s="135">
        <v>6.2739584867067631E-3</v>
      </c>
      <c r="U63" s="135">
        <v>3.1081043114214031E-5</v>
      </c>
      <c r="V63" s="143">
        <v>1E-3</v>
      </c>
      <c r="W63" s="135">
        <v>2.37382088423326E-5</v>
      </c>
      <c r="X63" s="321">
        <v>0.95002734943091527</v>
      </c>
      <c r="Y63" s="137">
        <f t="shared" si="16"/>
        <v>0.37257805526724869</v>
      </c>
    </row>
    <row r="64" spans="2:45" ht="24" customHeight="1" x14ac:dyDescent="0.25">
      <c r="B64" s="706"/>
      <c r="C64" s="496">
        <v>90</v>
      </c>
      <c r="D64" s="437">
        <v>0.01</v>
      </c>
      <c r="E64" s="438">
        <v>1.8463289341490728E-9</v>
      </c>
      <c r="F64" s="440">
        <v>3.1375998134343313</v>
      </c>
      <c r="G64" s="347">
        <f t="shared" si="12"/>
        <v>0.96196728349425997</v>
      </c>
      <c r="H64" s="124">
        <f t="shared" si="13"/>
        <v>86.577055514483391</v>
      </c>
      <c r="J64" s="756" t="s">
        <v>1</v>
      </c>
      <c r="K64" s="192">
        <v>14</v>
      </c>
      <c r="L64" s="193">
        <v>266.22000000000003</v>
      </c>
      <c r="M64" s="224">
        <v>2.1030000000000002</v>
      </c>
      <c r="N64" s="195">
        <v>1.3160000000000001</v>
      </c>
      <c r="O64" s="219">
        <f t="shared" si="15"/>
        <v>700.04395104831258</v>
      </c>
      <c r="Q64" s="735"/>
      <c r="R64" s="326">
        <v>90</v>
      </c>
      <c r="S64" s="172">
        <v>1E-3</v>
      </c>
      <c r="T64" s="135">
        <v>7.5191728300912598E-3</v>
      </c>
      <c r="U64" s="135">
        <v>4.2659636580452399E-5</v>
      </c>
      <c r="V64" s="135">
        <v>1E-3</v>
      </c>
      <c r="W64" s="135">
        <v>3.2540015713598781E-5</v>
      </c>
      <c r="X64" s="144">
        <v>0.94912601255264228</v>
      </c>
      <c r="Y64" s="137">
        <f t="shared" si="16"/>
        <v>0.44634843917374645</v>
      </c>
    </row>
    <row r="65" spans="2:25" ht="24" customHeight="1" thickBot="1" x14ac:dyDescent="0.3">
      <c r="B65" s="707"/>
      <c r="C65" s="495">
        <v>125</v>
      </c>
      <c r="D65" s="441">
        <v>0.01</v>
      </c>
      <c r="E65" s="442">
        <v>1.2288762264926472E-9</v>
      </c>
      <c r="F65" s="443">
        <v>3.4190225827029095</v>
      </c>
      <c r="G65" s="128">
        <f t="shared" si="12"/>
        <v>0.92667494840414721</v>
      </c>
      <c r="H65" s="127">
        <f t="shared" si="13"/>
        <v>115.83436855051841</v>
      </c>
      <c r="J65" s="757"/>
      <c r="K65" s="181">
        <v>19</v>
      </c>
      <c r="L65" s="205">
        <v>266.22000000000003</v>
      </c>
      <c r="M65" s="563">
        <v>2.1030000000000002</v>
      </c>
      <c r="N65" s="195">
        <v>1.3160000000000001</v>
      </c>
      <c r="O65" s="219">
        <f t="shared" si="15"/>
        <v>700.04395104831258</v>
      </c>
      <c r="Q65" s="736"/>
      <c r="R65" s="319">
        <v>125</v>
      </c>
      <c r="S65" s="146">
        <v>1E-3</v>
      </c>
      <c r="T65" s="147">
        <v>1.2452324679662691E-2</v>
      </c>
      <c r="U65" s="147">
        <v>3.6262448478996994E-5</v>
      </c>
      <c r="V65" s="147">
        <v>1.0110028154796005E-3</v>
      </c>
      <c r="W65" s="147">
        <v>3.8573403006744314E-5</v>
      </c>
      <c r="X65" s="140">
        <v>1.0214721389059447</v>
      </c>
      <c r="Y65" s="152">
        <f t="shared" si="16"/>
        <v>0.6164387601762682</v>
      </c>
    </row>
    <row r="66" spans="2:25" ht="24" customHeight="1" x14ac:dyDescent="0.25">
      <c r="B66" s="708" t="s">
        <v>42</v>
      </c>
      <c r="C66" s="493">
        <v>26</v>
      </c>
      <c r="D66" s="444">
        <v>0.01</v>
      </c>
      <c r="E66" s="445">
        <v>3.2349999999999998E-13</v>
      </c>
      <c r="F66" s="418">
        <v>3.887</v>
      </c>
      <c r="G66" s="345">
        <f t="shared" si="12"/>
        <v>0.99987006855759974</v>
      </c>
      <c r="H66" s="123">
        <f t="shared" si="13"/>
        <v>25.996621782497595</v>
      </c>
      <c r="J66" s="757"/>
      <c r="K66" s="185">
        <v>26</v>
      </c>
      <c r="L66" s="186">
        <v>146.94</v>
      </c>
      <c r="M66" s="226">
        <v>2.1030000000000002</v>
      </c>
      <c r="N66" s="188">
        <v>1.357</v>
      </c>
      <c r="O66" s="219">
        <f t="shared" si="15"/>
        <v>700.04395104831258</v>
      </c>
      <c r="Q66" s="738" t="s">
        <v>42</v>
      </c>
      <c r="R66" s="333">
        <v>26</v>
      </c>
      <c r="S66" s="158">
        <v>9.9000000000000005E-2</v>
      </c>
      <c r="T66" s="131">
        <v>0.46</v>
      </c>
      <c r="U66" s="131">
        <v>6.1000000000000004E-3</v>
      </c>
      <c r="V66" s="131">
        <v>0.89400000000000002</v>
      </c>
      <c r="W66" s="131">
        <v>5.0699999999999999E-3</v>
      </c>
      <c r="X66" s="132">
        <v>4.97</v>
      </c>
      <c r="Y66" s="155">
        <f>IF(T$6&gt;240,"out of range",IF($T$6="","",((S66+T66*$T$6+U66*$T$6^2)/(1+V66*$T$6+W66*$T$6^2))^X66))</f>
        <v>0.12391102109725714</v>
      </c>
    </row>
    <row r="67" spans="2:25" ht="24" customHeight="1" thickBot="1" x14ac:dyDescent="0.3">
      <c r="B67" s="709"/>
      <c r="C67" s="495">
        <v>60</v>
      </c>
      <c r="D67" s="430">
        <v>0.01</v>
      </c>
      <c r="E67" s="423">
        <v>9.5110000000000002E-12</v>
      </c>
      <c r="F67" s="424">
        <v>3.82</v>
      </c>
      <c r="G67" s="128">
        <f t="shared" si="12"/>
        <v>0.9970689933142316</v>
      </c>
      <c r="H67" s="127">
        <f t="shared" si="13"/>
        <v>59.824139598853897</v>
      </c>
      <c r="J67" s="757"/>
      <c r="K67" s="185">
        <v>40</v>
      </c>
      <c r="L67" s="186">
        <v>146.94</v>
      </c>
      <c r="M67" s="226">
        <v>2.1030000000000002</v>
      </c>
      <c r="N67" s="188">
        <v>1.357</v>
      </c>
      <c r="O67" s="219">
        <f t="shared" si="15"/>
        <v>749.98944672314519</v>
      </c>
      <c r="Q67" s="740"/>
      <c r="R67" s="151">
        <v>60</v>
      </c>
      <c r="S67" s="157">
        <v>4.9074028563641105E-2</v>
      </c>
      <c r="T67" s="139">
        <v>0.01</v>
      </c>
      <c r="U67" s="139">
        <v>2.7031789715557857E-4</v>
      </c>
      <c r="V67" s="139">
        <v>2.9433052892850101E-2</v>
      </c>
      <c r="W67" s="139">
        <v>1.3416508987579157E-4</v>
      </c>
      <c r="X67" s="140">
        <v>1.4572933173216964</v>
      </c>
      <c r="Y67" s="141">
        <f>IF(T$6&gt;240,"out of range",IF($T$6="","",((S67+T67*$T$6+U67*$T$6^2)/(1+V67*$T$6+W67*$T$6^2))^X67))</f>
        <v>0.29863239638013894</v>
      </c>
    </row>
    <row r="68" spans="2:25" ht="24" customHeight="1" x14ac:dyDescent="0.25">
      <c r="B68" s="710" t="s">
        <v>1</v>
      </c>
      <c r="C68" s="501">
        <v>14</v>
      </c>
      <c r="D68" s="416">
        <v>0.01</v>
      </c>
      <c r="E68" s="445">
        <v>4.3573461144285437E-9</v>
      </c>
      <c r="F68" s="426">
        <v>2.3845886146755886</v>
      </c>
      <c r="G68" s="122">
        <f t="shared" si="12"/>
        <v>0.99511975153253296</v>
      </c>
      <c r="H68" s="123">
        <f t="shared" si="13"/>
        <v>13.931676521455461</v>
      </c>
      <c r="J68" s="757"/>
      <c r="K68" s="185">
        <v>60</v>
      </c>
      <c r="L68" s="186">
        <v>72.150000000000006</v>
      </c>
      <c r="M68" s="226">
        <v>2.1030000000000002</v>
      </c>
      <c r="N68" s="188">
        <v>1.4490000000000001</v>
      </c>
      <c r="O68" s="219">
        <f t="shared" si="15"/>
        <v>749.98944672314519</v>
      </c>
      <c r="Q68" s="737" t="s">
        <v>1</v>
      </c>
      <c r="R68" s="159">
        <v>14</v>
      </c>
      <c r="S68" s="158">
        <v>3.9184895435069651E-2</v>
      </c>
      <c r="T68" s="131">
        <v>1.8239687547398731E-2</v>
      </c>
      <c r="U68" s="131">
        <v>4.9106373443192784E-4</v>
      </c>
      <c r="V68" s="131">
        <v>0.13312093764632904</v>
      </c>
      <c r="W68" s="131">
        <v>4.5018467993637062E-4</v>
      </c>
      <c r="X68" s="154">
        <v>1.9383038577114611</v>
      </c>
      <c r="Y68" s="160">
        <f>IF(T$6&gt;610,"out of range",IF(T$6="","",((S68+T68*T$6+U68*T$6^2)/(1+V68*T$6+W68*T$6^2))^X68))</f>
        <v>6.7089629685399693E-2</v>
      </c>
    </row>
    <row r="69" spans="2:25" ht="24" customHeight="1" thickBot="1" x14ac:dyDescent="0.3">
      <c r="B69" s="711"/>
      <c r="C69" s="498">
        <v>19</v>
      </c>
      <c r="D69" s="425">
        <v>0.01</v>
      </c>
      <c r="E69" s="417">
        <v>1.4991580049687031E-9</v>
      </c>
      <c r="F69" s="426">
        <v>2.64524226019233</v>
      </c>
      <c r="G69" s="129">
        <f t="shared" si="12"/>
        <v>0.99534405449026964</v>
      </c>
      <c r="H69" s="126">
        <f t="shared" si="13"/>
        <v>18.911537035315124</v>
      </c>
      <c r="J69" s="757"/>
      <c r="K69" s="185">
        <v>75</v>
      </c>
      <c r="L69" s="214">
        <v>99.480645282107702</v>
      </c>
      <c r="M69" s="226">
        <v>2.1030000000000002</v>
      </c>
      <c r="N69" s="206">
        <v>1.4021156937854726</v>
      </c>
      <c r="O69" s="220">
        <f t="shared" si="15"/>
        <v>1149.9244090905497</v>
      </c>
      <c r="Q69" s="735"/>
      <c r="R69" s="577">
        <v>19</v>
      </c>
      <c r="S69" s="158">
        <v>2.9737985615245394E-2</v>
      </c>
      <c r="T69" s="131">
        <v>1.2317258644089469E-2</v>
      </c>
      <c r="U69" s="131">
        <v>4.3501421815179264E-4</v>
      </c>
      <c r="V69" s="131">
        <v>9.9989999999999996E-2</v>
      </c>
      <c r="W69" s="131">
        <v>3.6548232423773262E-4</v>
      </c>
      <c r="X69" s="132">
        <v>1.7290884748956681</v>
      </c>
      <c r="Y69" s="133">
        <f t="shared" ref="Y69:Y81" si="20">IF(T$6&gt;610,"out of range",IF(T$6="","",((S69+T69*T$6+U69*T$6^2)/(1+V69*T$6+W69*T$6^2))^X69))</f>
        <v>9.1428764138581545E-2</v>
      </c>
    </row>
    <row r="70" spans="2:25" ht="24" customHeight="1" x14ac:dyDescent="0.25">
      <c r="B70" s="711"/>
      <c r="C70" s="499">
        <v>26</v>
      </c>
      <c r="D70" s="419">
        <v>0.01</v>
      </c>
      <c r="E70" s="420">
        <v>1.0896677651864416E-8</v>
      </c>
      <c r="F70" s="421">
        <v>2.5051162652390424</v>
      </c>
      <c r="G70" s="129">
        <f t="shared" si="12"/>
        <v>0.98072655144634813</v>
      </c>
      <c r="H70" s="124">
        <f t="shared" si="13"/>
        <v>25.498890337605051</v>
      </c>
      <c r="J70" s="757"/>
      <c r="K70" s="185">
        <v>90</v>
      </c>
      <c r="L70" s="214">
        <v>99.640892842918689</v>
      </c>
      <c r="M70" s="226">
        <v>2.1030000000000002</v>
      </c>
      <c r="N70" s="206">
        <v>1.4413568228514619</v>
      </c>
      <c r="O70" s="196">
        <f t="shared" si="15"/>
        <v>363.8041261245769</v>
      </c>
      <c r="Q70" s="735"/>
      <c r="R70" s="150">
        <v>26</v>
      </c>
      <c r="S70" s="156">
        <v>5.3395004192252675E-2</v>
      </c>
      <c r="T70" s="135">
        <v>1.1437649406649578E-2</v>
      </c>
      <c r="U70" s="135">
        <v>5.418533537932071E-4</v>
      </c>
      <c r="V70" s="135">
        <v>8.7721004013052994E-2</v>
      </c>
      <c r="W70" s="135">
        <v>4.9995461336986298E-4</v>
      </c>
      <c r="X70" s="136">
        <v>1.6994333688932892</v>
      </c>
      <c r="Y70" s="137">
        <f t="shared" si="20"/>
        <v>0.12804464131827226</v>
      </c>
    </row>
    <row r="71" spans="2:25" ht="24" customHeight="1" x14ac:dyDescent="0.25">
      <c r="B71" s="711"/>
      <c r="C71" s="499">
        <v>40</v>
      </c>
      <c r="D71" s="419">
        <v>0.01</v>
      </c>
      <c r="E71" s="420">
        <v>2.7020686306515555E-8</v>
      </c>
      <c r="F71" s="421">
        <v>2.5110908419100424</v>
      </c>
      <c r="G71" s="345">
        <f t="shared" si="12"/>
        <v>0.95248585392373886</v>
      </c>
      <c r="H71" s="124">
        <f t="shared" si="13"/>
        <v>38.099434156949556</v>
      </c>
      <c r="J71" s="757"/>
      <c r="K71" s="185">
        <v>125</v>
      </c>
      <c r="L71" s="186">
        <v>62.22</v>
      </c>
      <c r="M71" s="226">
        <v>2.1030000000000002</v>
      </c>
      <c r="N71" s="188">
        <v>1.5609999999999999</v>
      </c>
      <c r="O71" s="189">
        <f t="shared" si="15"/>
        <v>400.06037350627537</v>
      </c>
      <c r="Q71" s="735"/>
      <c r="R71" s="150">
        <v>40</v>
      </c>
      <c r="S71" s="156">
        <v>2.7248243188795335E-2</v>
      </c>
      <c r="T71" s="135">
        <v>1.0681912451197239E-2</v>
      </c>
      <c r="U71" s="135">
        <v>5.12570702692113E-4</v>
      </c>
      <c r="V71" s="135">
        <v>6.4615362686793534E-2</v>
      </c>
      <c r="W71" s="135">
        <v>4.4695185005603523E-4</v>
      </c>
      <c r="X71" s="136">
        <v>1.5131545239549391</v>
      </c>
      <c r="Y71" s="137">
        <f t="shared" si="20"/>
        <v>0.19944116536500231</v>
      </c>
    </row>
    <row r="72" spans="2:25" ht="24" customHeight="1" x14ac:dyDescent="0.25">
      <c r="B72" s="711"/>
      <c r="C72" s="499">
        <v>60</v>
      </c>
      <c r="D72" s="419">
        <v>0.01</v>
      </c>
      <c r="E72" s="420">
        <v>1.1652679425458997E-7</v>
      </c>
      <c r="F72" s="421">
        <v>2.4359649995511266</v>
      </c>
      <c r="G72" s="347">
        <f t="shared" si="12"/>
        <v>0.86181214524318461</v>
      </c>
      <c r="H72" s="124">
        <f t="shared" si="13"/>
        <v>51.708728714591075</v>
      </c>
      <c r="J72" s="757"/>
      <c r="K72" s="185">
        <v>147</v>
      </c>
      <c r="L72" s="186">
        <v>56.51</v>
      </c>
      <c r="M72" s="226">
        <v>2.1030000000000002</v>
      </c>
      <c r="N72" s="188">
        <v>1.5980000000000001</v>
      </c>
      <c r="O72" s="189">
        <f t="shared" si="15"/>
        <v>400.06037350627537</v>
      </c>
      <c r="Q72" s="735"/>
      <c r="R72" s="150">
        <v>60</v>
      </c>
      <c r="S72" s="156">
        <v>3.9329623397622276E-2</v>
      </c>
      <c r="T72" s="135">
        <v>1.3713205938106226E-2</v>
      </c>
      <c r="U72" s="135">
        <v>5.7265889383660931E-4</v>
      </c>
      <c r="V72" s="135">
        <v>5.1004167460847495E-2</v>
      </c>
      <c r="W72" s="135">
        <v>5.2155239662237394E-4</v>
      </c>
      <c r="X72" s="136">
        <v>1.5279618667882748</v>
      </c>
      <c r="Y72" s="137">
        <f t="shared" si="20"/>
        <v>0.28950238747657847</v>
      </c>
    </row>
    <row r="73" spans="2:25" ht="24" customHeight="1" x14ac:dyDescent="0.25">
      <c r="B73" s="711"/>
      <c r="C73" s="499">
        <v>75</v>
      </c>
      <c r="D73" s="419">
        <v>0.01</v>
      </c>
      <c r="E73" s="420">
        <v>6.2281007402464242E-7</v>
      </c>
      <c r="F73" s="421">
        <v>2.179746614503062</v>
      </c>
      <c r="G73" s="347">
        <f t="shared" si="12"/>
        <v>0.76072076357671681</v>
      </c>
      <c r="H73" s="124">
        <f t="shared" si="13"/>
        <v>57.054057268253757</v>
      </c>
      <c r="J73" s="757"/>
      <c r="K73" s="185">
        <v>160</v>
      </c>
      <c r="L73" s="186">
        <v>56.51</v>
      </c>
      <c r="M73" s="226">
        <v>2.1030000000000002</v>
      </c>
      <c r="N73" s="188">
        <v>1.5980000000000001</v>
      </c>
      <c r="O73" s="189">
        <f t="shared" si="15"/>
        <v>500</v>
      </c>
      <c r="Q73" s="735"/>
      <c r="R73" s="150">
        <v>75</v>
      </c>
      <c r="S73" s="156">
        <v>2.533934461876099E-2</v>
      </c>
      <c r="T73" s="135">
        <v>1.166468903233393E-2</v>
      </c>
      <c r="U73" s="135">
        <v>5.527927149890174E-4</v>
      </c>
      <c r="V73" s="135">
        <v>4.557457323773953E-2</v>
      </c>
      <c r="W73" s="135">
        <v>4.9910839111968466E-4</v>
      </c>
      <c r="X73" s="136">
        <v>1.2951516068177076</v>
      </c>
      <c r="Y73" s="137">
        <f t="shared" si="20"/>
        <v>0.34506841909526886</v>
      </c>
    </row>
    <row r="74" spans="2:25" ht="24" customHeight="1" thickBot="1" x14ac:dyDescent="0.3">
      <c r="B74" s="711"/>
      <c r="C74" s="499">
        <v>90</v>
      </c>
      <c r="D74" s="419">
        <v>0.01</v>
      </c>
      <c r="E74" s="420">
        <v>8.7118269083594085E-7</v>
      </c>
      <c r="F74" s="421">
        <v>2.2394290091721976</v>
      </c>
      <c r="G74" s="347">
        <f t="shared" si="12"/>
        <v>0.64280191951219368</v>
      </c>
      <c r="H74" s="124">
        <f t="shared" si="13"/>
        <v>57.852172756097431</v>
      </c>
      <c r="J74" s="757"/>
      <c r="K74" s="185">
        <v>173</v>
      </c>
      <c r="L74" s="186">
        <v>56.51</v>
      </c>
      <c r="M74" s="226">
        <v>2.1030000000000002</v>
      </c>
      <c r="N74" s="188">
        <v>1.5980000000000001</v>
      </c>
      <c r="O74" s="204">
        <f t="shared" si="15"/>
        <v>500</v>
      </c>
      <c r="Q74" s="735"/>
      <c r="R74" s="150">
        <v>90</v>
      </c>
      <c r="S74" s="156">
        <v>1.8922643844614079E-2</v>
      </c>
      <c r="T74" s="135">
        <v>1.3627652050041544E-2</v>
      </c>
      <c r="U74" s="135">
        <v>4.7759826046610585E-4</v>
      </c>
      <c r="V74" s="135">
        <v>3.6142036843048626E-2</v>
      </c>
      <c r="W74" s="135">
        <v>4.7459302256742871E-4</v>
      </c>
      <c r="X74" s="136">
        <v>1.2608501633486644</v>
      </c>
      <c r="Y74" s="137">
        <f t="shared" si="20"/>
        <v>0.39047488325737018</v>
      </c>
    </row>
    <row r="75" spans="2:25" ht="24" customHeight="1" x14ac:dyDescent="0.25">
      <c r="B75" s="711"/>
      <c r="C75" s="499">
        <v>125</v>
      </c>
      <c r="D75" s="419">
        <v>0.01</v>
      </c>
      <c r="E75" s="420">
        <v>4.0608312342739117E-7</v>
      </c>
      <c r="F75" s="421">
        <v>2.5175730806949699</v>
      </c>
      <c r="G75" s="129">
        <f t="shared" si="12"/>
        <v>0.56530824186478035</v>
      </c>
      <c r="H75" s="124">
        <f t="shared" si="13"/>
        <v>70.663530233097546</v>
      </c>
      <c r="J75" s="757"/>
      <c r="K75" s="185">
        <v>200</v>
      </c>
      <c r="L75" s="186">
        <v>53.71</v>
      </c>
      <c r="M75" s="226">
        <v>2.1030000000000002</v>
      </c>
      <c r="N75" s="188">
        <v>1.6240000000000001</v>
      </c>
      <c r="O75" s="196">
        <f t="shared" si="15"/>
        <v>399.99999999999989</v>
      </c>
      <c r="Q75" s="735"/>
      <c r="R75" s="150">
        <v>125</v>
      </c>
      <c r="S75" s="156">
        <v>3.4232813363092814E-2</v>
      </c>
      <c r="T75" s="135">
        <v>2.0920243786981638E-2</v>
      </c>
      <c r="U75" s="135">
        <v>5.4765305925577568E-4</v>
      </c>
      <c r="V75" s="135">
        <v>3.3713117586350649E-2</v>
      </c>
      <c r="W75" s="135">
        <v>4.9408434071159912E-4</v>
      </c>
      <c r="X75" s="136">
        <v>1.3639081727037885</v>
      </c>
      <c r="Y75" s="137">
        <f t="shared" si="20"/>
        <v>0.52640214265608498</v>
      </c>
    </row>
    <row r="76" spans="2:25" ht="24" customHeight="1" x14ac:dyDescent="0.25">
      <c r="B76" s="711"/>
      <c r="C76" s="499">
        <v>147</v>
      </c>
      <c r="D76" s="419">
        <v>0.01</v>
      </c>
      <c r="E76" s="420">
        <v>9.1175110350001665E-7</v>
      </c>
      <c r="F76" s="421">
        <v>2.4297727699154854</v>
      </c>
      <c r="G76" s="129">
        <f t="shared" si="12"/>
        <v>0.44952294843376189</v>
      </c>
      <c r="H76" s="124">
        <f t="shared" si="13"/>
        <v>66.079873419763004</v>
      </c>
      <c r="J76" s="757"/>
      <c r="K76" s="185">
        <v>300</v>
      </c>
      <c r="L76" s="186">
        <v>53.71</v>
      </c>
      <c r="M76" s="226">
        <v>2.1030000000000002</v>
      </c>
      <c r="N76" s="188">
        <v>1.6240000000000001</v>
      </c>
      <c r="O76" s="191">
        <f t="shared" si="15"/>
        <v>399.99999999999989</v>
      </c>
      <c r="Q76" s="735"/>
      <c r="R76" s="150">
        <v>147</v>
      </c>
      <c r="S76" s="156">
        <v>2.8877480341436623E-2</v>
      </c>
      <c r="T76" s="135">
        <v>2.651069809226379E-2</v>
      </c>
      <c r="U76" s="135">
        <v>5.2900208064160634E-4</v>
      </c>
      <c r="V76" s="135">
        <v>3.4616180849244137E-2</v>
      </c>
      <c r="W76" s="135">
        <v>5.0251097502411208E-4</v>
      </c>
      <c r="X76" s="136">
        <v>1.3959703187771482</v>
      </c>
      <c r="Y76" s="137">
        <f t="shared" si="20"/>
        <v>0.57341401235578193</v>
      </c>
    </row>
    <row r="77" spans="2:25" ht="24" customHeight="1" thickBot="1" x14ac:dyDescent="0.3">
      <c r="B77" s="711"/>
      <c r="C77" s="499">
        <v>160</v>
      </c>
      <c r="D77" s="419">
        <v>0.01</v>
      </c>
      <c r="E77" s="420">
        <v>9.5245807478633885E-7</v>
      </c>
      <c r="F77" s="421">
        <v>2.4772252516933335</v>
      </c>
      <c r="G77" s="345">
        <f t="shared" si="12"/>
        <v>0.39366970976291343</v>
      </c>
      <c r="H77" s="124">
        <f t="shared" si="13"/>
        <v>62.987153562066148</v>
      </c>
      <c r="J77" s="758"/>
      <c r="K77" s="197">
        <v>550</v>
      </c>
      <c r="L77" s="201">
        <v>74.760000000000005</v>
      </c>
      <c r="M77" s="227">
        <v>2.1030000000000002</v>
      </c>
      <c r="N77" s="203">
        <v>1.645</v>
      </c>
      <c r="O77" s="191">
        <f t="shared" si="15"/>
        <v>450</v>
      </c>
      <c r="Q77" s="735"/>
      <c r="R77" s="150">
        <v>160</v>
      </c>
      <c r="S77" s="156">
        <v>2.8425250060599132E-2</v>
      </c>
      <c r="T77" s="135">
        <v>2.737717095798331E-2</v>
      </c>
      <c r="U77" s="135">
        <v>5.1213618759606819E-4</v>
      </c>
      <c r="V77" s="135">
        <v>3.2426070639024959E-2</v>
      </c>
      <c r="W77" s="135">
        <v>5.0515093170500156E-4</v>
      </c>
      <c r="X77" s="136">
        <v>1.3654364070785949</v>
      </c>
      <c r="Y77" s="137">
        <f t="shared" si="20"/>
        <v>0.60174710515646823</v>
      </c>
    </row>
    <row r="78" spans="2:25" ht="24" customHeight="1" x14ac:dyDescent="0.25">
      <c r="B78" s="711"/>
      <c r="C78" s="499">
        <v>173</v>
      </c>
      <c r="D78" s="419">
        <v>0.01</v>
      </c>
      <c r="E78" s="420">
        <v>8.078101470681603E-7</v>
      </c>
      <c r="F78" s="421">
        <v>2.5633835280555033</v>
      </c>
      <c r="G78" s="347">
        <f t="shared" si="12"/>
        <v>0.35337270707864882</v>
      </c>
      <c r="H78" s="124">
        <f t="shared" si="13"/>
        <v>61.133478324606244</v>
      </c>
      <c r="J78" s="713" t="s">
        <v>44</v>
      </c>
      <c r="K78" s="228">
        <v>14</v>
      </c>
      <c r="L78" s="213">
        <v>29.3</v>
      </c>
      <c r="M78" s="207">
        <v>1.988</v>
      </c>
      <c r="N78" s="229">
        <v>1.5409999999999999</v>
      </c>
      <c r="O78" s="196">
        <f t="shared" ref="O78:O109" si="21">IF(OR($K$6=0,$N$6=0),"",L86*$K$6^M86*$N$6^N86)</f>
        <v>399.99999999999989</v>
      </c>
      <c r="Q78" s="735"/>
      <c r="R78" s="150">
        <v>173</v>
      </c>
      <c r="S78" s="156">
        <v>2.9333612094529393E-2</v>
      </c>
      <c r="T78" s="135">
        <v>2.7067455553316189E-2</v>
      </c>
      <c r="U78" s="135">
        <v>4.9165366048311058E-4</v>
      </c>
      <c r="V78" s="135">
        <v>2.795063195594855E-2</v>
      </c>
      <c r="W78" s="135">
        <v>5.1304964349067569E-4</v>
      </c>
      <c r="X78" s="136">
        <v>1.3254708160252788</v>
      </c>
      <c r="Y78" s="137">
        <f t="shared" si="20"/>
        <v>0.63476285101102892</v>
      </c>
    </row>
    <row r="79" spans="2:25" ht="24" customHeight="1" x14ac:dyDescent="0.25">
      <c r="B79" s="711"/>
      <c r="C79" s="499">
        <v>200</v>
      </c>
      <c r="D79" s="419">
        <v>0.01</v>
      </c>
      <c r="E79" s="420">
        <v>1.4962206702048759E-6</v>
      </c>
      <c r="F79" s="421">
        <v>2.4772252516933335</v>
      </c>
      <c r="G79" s="347" t="str">
        <f>IF(OR(0.01*(1/(D79+E79*(D$6^F79)))&lt;0.3,0.01*(1/(D79+E79*(D$6^F79)))&gt;1),"Under 30%",0.01*(1/(D79+E79*(D$6^F79))))</f>
        <v>Under 30%</v>
      </c>
      <c r="H79" s="124" t="str">
        <f t="shared" si="13"/>
        <v>Out of Range</v>
      </c>
      <c r="J79" s="714"/>
      <c r="K79" s="230">
        <v>26</v>
      </c>
      <c r="L79" s="186">
        <v>32.22</v>
      </c>
      <c r="M79" s="187">
        <v>1.988</v>
      </c>
      <c r="N79" s="188">
        <v>1.5409999999999999</v>
      </c>
      <c r="O79" s="189">
        <f t="shared" si="21"/>
        <v>399.99999999999989</v>
      </c>
      <c r="Q79" s="735"/>
      <c r="R79" s="150">
        <v>200</v>
      </c>
      <c r="S79" s="156">
        <v>2.2570417323519651E-2</v>
      </c>
      <c r="T79" s="135">
        <v>3.2519945060939477E-2</v>
      </c>
      <c r="U79" s="135">
        <v>5.0974592396774089E-4</v>
      </c>
      <c r="V79" s="135">
        <v>3.1702216074285715E-2</v>
      </c>
      <c r="W79" s="135">
        <v>5.2251978458998721E-4</v>
      </c>
      <c r="X79" s="136">
        <v>1.31619957143185</v>
      </c>
      <c r="Y79" s="137">
        <f t="shared" si="20"/>
        <v>0.68613863756795368</v>
      </c>
    </row>
    <row r="80" spans="2:25" ht="24" customHeight="1" thickBot="1" x14ac:dyDescent="0.3">
      <c r="B80" s="711"/>
      <c r="C80" s="499">
        <v>300</v>
      </c>
      <c r="D80" s="419">
        <v>0.01</v>
      </c>
      <c r="E80" s="420">
        <v>4.9125929880630597E-6</v>
      </c>
      <c r="F80" s="421">
        <v>2.4297727699154854</v>
      </c>
      <c r="G80" s="347" t="str">
        <f t="shared" si="12"/>
        <v>Under 30%</v>
      </c>
      <c r="H80" s="124" t="str">
        <f t="shared" si="13"/>
        <v>Out of Range</v>
      </c>
      <c r="J80" s="714"/>
      <c r="K80" s="230">
        <v>40</v>
      </c>
      <c r="L80" s="186">
        <v>32.22</v>
      </c>
      <c r="M80" s="187">
        <v>1.988</v>
      </c>
      <c r="N80" s="188">
        <v>1.5409999999999999</v>
      </c>
      <c r="O80" s="191">
        <f t="shared" si="21"/>
        <v>449.99999999999994</v>
      </c>
      <c r="Q80" s="735"/>
      <c r="R80" s="150">
        <v>300</v>
      </c>
      <c r="S80" s="156">
        <v>2.8804146038795579E-3</v>
      </c>
      <c r="T80" s="135">
        <v>5.1794857805569409E-2</v>
      </c>
      <c r="U80" s="135">
        <v>5.7874396107168301E-4</v>
      </c>
      <c r="V80" s="135">
        <v>4.9043705399761502E-2</v>
      </c>
      <c r="W80" s="135">
        <v>5.099905153062458E-4</v>
      </c>
      <c r="X80" s="136">
        <v>1.2537378354054249</v>
      </c>
      <c r="Y80" s="137">
        <f t="shared" si="20"/>
        <v>0.82111030559582077</v>
      </c>
    </row>
    <row r="81" spans="2:25" ht="24" customHeight="1" thickBot="1" x14ac:dyDescent="0.3">
      <c r="B81" s="712"/>
      <c r="C81" s="500">
        <v>550</v>
      </c>
      <c r="D81" s="422">
        <v>0.01</v>
      </c>
      <c r="E81" s="423">
        <v>5.5971197391739167E-4</v>
      </c>
      <c r="F81" s="424">
        <v>1.7095112913514543</v>
      </c>
      <c r="G81" s="128" t="str">
        <f t="shared" si="12"/>
        <v>Under 30%</v>
      </c>
      <c r="H81" s="125" t="str">
        <f t="shared" si="13"/>
        <v>Out of Range</v>
      </c>
      <c r="J81" s="714"/>
      <c r="K81" s="230">
        <v>60</v>
      </c>
      <c r="L81" s="214">
        <v>40.268922059953276</v>
      </c>
      <c r="M81" s="187">
        <v>1.988</v>
      </c>
      <c r="N81" s="188">
        <v>1.5409999999999999</v>
      </c>
      <c r="O81" s="196">
        <f t="shared" si="21"/>
        <v>285.44907828372965</v>
      </c>
      <c r="Q81" s="736"/>
      <c r="R81" s="151">
        <v>550</v>
      </c>
      <c r="S81" s="146">
        <v>1.6808233236749299E-3</v>
      </c>
      <c r="T81" s="139">
        <v>7.554886850582411E-2</v>
      </c>
      <c r="U81" s="139">
        <v>1.1179954191695715E-10</v>
      </c>
      <c r="V81" s="139">
        <v>9.7427739717934239E-2</v>
      </c>
      <c r="W81" s="139">
        <v>1.7540160891647285E-3</v>
      </c>
      <c r="X81" s="140">
        <v>1.1000195261317312</v>
      </c>
      <c r="Y81" s="141">
        <f t="shared" si="20"/>
        <v>0.33344648535314886</v>
      </c>
    </row>
    <row r="82" spans="2:25" ht="24" customHeight="1" thickBot="1" x14ac:dyDescent="0.3">
      <c r="B82" s="704" t="s">
        <v>44</v>
      </c>
      <c r="C82" s="502">
        <v>14</v>
      </c>
      <c r="D82" s="425">
        <v>0.01</v>
      </c>
      <c r="E82" s="417">
        <v>1.0405827263267429E-7</v>
      </c>
      <c r="F82" s="426">
        <v>2</v>
      </c>
      <c r="G82" s="345">
        <f t="shared" si="12"/>
        <v>0.97464503042596351</v>
      </c>
      <c r="H82" s="123">
        <f t="shared" si="13"/>
        <v>13.645030425963489</v>
      </c>
      <c r="J82" s="715"/>
      <c r="K82" s="231">
        <v>90</v>
      </c>
      <c r="L82" s="215">
        <v>40.268922059953276</v>
      </c>
      <c r="M82" s="210">
        <v>1.988</v>
      </c>
      <c r="N82" s="217">
        <v>1.5409999999999999</v>
      </c>
      <c r="O82" s="191">
        <f t="shared" si="21"/>
        <v>248.70458914508353</v>
      </c>
      <c r="Q82" s="671" t="s">
        <v>44</v>
      </c>
      <c r="R82" s="161">
        <v>14</v>
      </c>
      <c r="S82" s="131">
        <v>4.6181743505452191E-2</v>
      </c>
      <c r="T82" s="131">
        <v>1.6174778904708333E-2</v>
      </c>
      <c r="U82" s="131">
        <v>4.1974016550009008E-4</v>
      </c>
      <c r="V82" s="131">
        <v>0.10121886928002302</v>
      </c>
      <c r="W82" s="131">
        <v>4.7175014789857821E-4</v>
      </c>
      <c r="X82" s="132">
        <v>2.0080303238709258</v>
      </c>
      <c r="Y82" s="133">
        <f t="shared" ref="Y82:Y149" si="22">IF(T$6&gt;240,"out of range",IF($T$6="","",((S82+T82*$T$6+U82*$T$6^2)/(1+V82*$T$6+W82*$T$6^2))^X82))</f>
        <v>6.8435958086716028E-2</v>
      </c>
    </row>
    <row r="83" spans="2:25" ht="24" customHeight="1" thickBot="1" x14ac:dyDescent="0.3">
      <c r="B83" s="702"/>
      <c r="C83" s="503">
        <v>26</v>
      </c>
      <c r="D83" s="419">
        <v>0.01</v>
      </c>
      <c r="E83" s="420">
        <v>2.4999999999999999E-7</v>
      </c>
      <c r="F83" s="421">
        <v>2</v>
      </c>
      <c r="G83" s="347">
        <f t="shared" si="12"/>
        <v>0.94117647058823528</v>
      </c>
      <c r="H83" s="124">
        <f t="shared" si="13"/>
        <v>24.470588235294116</v>
      </c>
      <c r="J83" s="713" t="s">
        <v>45</v>
      </c>
      <c r="K83" s="228">
        <v>26</v>
      </c>
      <c r="L83" s="218">
        <v>32.220804027343604</v>
      </c>
      <c r="M83" s="207">
        <v>1.9880763821320799</v>
      </c>
      <c r="N83" s="208">
        <v>1.5409999999999999</v>
      </c>
      <c r="O83" s="191">
        <f t="shared" si="21"/>
        <v>285.44907828372965</v>
      </c>
      <c r="Q83" s="672"/>
      <c r="R83" s="162">
        <v>26</v>
      </c>
      <c r="S83" s="135">
        <v>2.5256799529093991E-2</v>
      </c>
      <c r="T83" s="135">
        <v>8.3414843497347721E-3</v>
      </c>
      <c r="U83" s="135">
        <v>4.021480016463229E-4</v>
      </c>
      <c r="V83" s="135">
        <v>7.6527707029954845E-2</v>
      </c>
      <c r="W83" s="135">
        <v>4.1014750821328588E-4</v>
      </c>
      <c r="X83" s="136">
        <v>1.4752382573226199</v>
      </c>
      <c r="Y83" s="137">
        <f t="shared" si="22"/>
        <v>0.12738252920046039</v>
      </c>
    </row>
    <row r="84" spans="2:25" ht="24" customHeight="1" x14ac:dyDescent="0.25">
      <c r="B84" s="702"/>
      <c r="C84" s="503">
        <v>40</v>
      </c>
      <c r="D84" s="419">
        <v>0.01</v>
      </c>
      <c r="E84" s="420">
        <v>1.325336663845504E-6</v>
      </c>
      <c r="F84" s="421">
        <v>1.8068231359760492</v>
      </c>
      <c r="G84" s="347">
        <f t="shared" si="12"/>
        <v>0.86533659435986088</v>
      </c>
      <c r="H84" s="124">
        <f t="shared" si="13"/>
        <v>34.613463774394432</v>
      </c>
      <c r="J84" s="714"/>
      <c r="K84" s="632">
        <v>40</v>
      </c>
      <c r="L84" s="222">
        <v>32.220804027343604</v>
      </c>
      <c r="M84" s="210">
        <v>1.9880763821320799</v>
      </c>
      <c r="N84" s="211">
        <v>1.5409999999999999</v>
      </c>
      <c r="O84" s="196">
        <f t="shared" si="21"/>
        <v>686.35858392228522</v>
      </c>
      <c r="Q84" s="672"/>
      <c r="R84" s="162">
        <v>40</v>
      </c>
      <c r="S84" s="135">
        <v>4.6756102033503055E-2</v>
      </c>
      <c r="T84" s="135">
        <v>1.6356057903969601E-2</v>
      </c>
      <c r="U84" s="135">
        <v>5.6639474510470614E-4</v>
      </c>
      <c r="V84" s="135">
        <v>7.3091374078407156E-2</v>
      </c>
      <c r="W84" s="135">
        <v>5.4926325483503949E-4</v>
      </c>
      <c r="X84" s="136">
        <v>1.7061132056475359</v>
      </c>
      <c r="Y84" s="137">
        <f t="shared" si="22"/>
        <v>0.19046906302124267</v>
      </c>
    </row>
    <row r="85" spans="2:25" ht="24" customHeight="1" thickBot="1" x14ac:dyDescent="0.3">
      <c r="B85" s="702"/>
      <c r="C85" s="503">
        <v>60</v>
      </c>
      <c r="D85" s="419">
        <v>0.01</v>
      </c>
      <c r="E85" s="420">
        <v>3.3712200535216209E-6</v>
      </c>
      <c r="F85" s="421">
        <v>1.7361064491754328</v>
      </c>
      <c r="G85" s="347">
        <f t="shared" si="12"/>
        <v>0.76912503975060931</v>
      </c>
      <c r="H85" s="124">
        <f t="shared" si="13"/>
        <v>46.14750238503656</v>
      </c>
      <c r="J85" s="715"/>
      <c r="K85" s="231">
        <v>60</v>
      </c>
      <c r="L85" s="222">
        <v>36.242029853957952</v>
      </c>
      <c r="M85" s="210">
        <v>1.988</v>
      </c>
      <c r="N85" s="211">
        <v>1.5409999999999999</v>
      </c>
      <c r="O85" s="189">
        <f t="shared" si="21"/>
        <v>915.1338062217792</v>
      </c>
      <c r="Q85" s="672"/>
      <c r="R85" s="162">
        <v>60</v>
      </c>
      <c r="S85" s="135">
        <v>4.2859201851125815E-2</v>
      </c>
      <c r="T85" s="135">
        <v>1.7870753733562898E-2</v>
      </c>
      <c r="U85" s="135">
        <v>6.0443303252360472E-4</v>
      </c>
      <c r="V85" s="135">
        <v>6.3350135791563428E-2</v>
      </c>
      <c r="W85" s="135">
        <v>5.5285355656970023E-4</v>
      </c>
      <c r="X85" s="136">
        <v>1.5862325330187232</v>
      </c>
      <c r="Y85" s="137">
        <f t="shared" si="22"/>
        <v>0.27291139734980108</v>
      </c>
    </row>
    <row r="86" spans="2:25" ht="24" customHeight="1" thickBot="1" x14ac:dyDescent="0.3">
      <c r="B86" s="703"/>
      <c r="C86" s="504">
        <v>90</v>
      </c>
      <c r="D86" s="422">
        <v>0.01</v>
      </c>
      <c r="E86" s="423">
        <v>1.5286870508189321E-5</v>
      </c>
      <c r="F86" s="424">
        <v>1.5834881383771153</v>
      </c>
      <c r="G86" s="128">
        <f t="shared" si="12"/>
        <v>0.57167882663339509</v>
      </c>
      <c r="H86" s="125">
        <f t="shared" si="13"/>
        <v>51.451094397005555</v>
      </c>
      <c r="J86" s="713" t="s">
        <v>46</v>
      </c>
      <c r="K86" s="638">
        <v>26</v>
      </c>
      <c r="L86" s="213">
        <v>32.220804027343604</v>
      </c>
      <c r="M86" s="207">
        <v>1.9880763821320799</v>
      </c>
      <c r="N86" s="208">
        <v>1.5409999999999999</v>
      </c>
      <c r="O86" s="204">
        <f t="shared" si="21"/>
        <v>1029.5461861840417</v>
      </c>
      <c r="Q86" s="673"/>
      <c r="R86" s="163">
        <v>90</v>
      </c>
      <c r="S86" s="139">
        <v>3.1569149129735873E-2</v>
      </c>
      <c r="T86" s="139">
        <v>2.185837767824823E-2</v>
      </c>
      <c r="U86" s="139">
        <v>6.0591744562109968E-4</v>
      </c>
      <c r="V86" s="139">
        <v>5.7195037639057582E-2</v>
      </c>
      <c r="W86" s="139">
        <v>5.6961103955503951E-4</v>
      </c>
      <c r="X86" s="140">
        <v>1.4763738336125987</v>
      </c>
      <c r="Y86" s="141">
        <f t="shared" si="22"/>
        <v>0.35886731051303594</v>
      </c>
    </row>
    <row r="87" spans="2:25" ht="24" customHeight="1" x14ac:dyDescent="0.25">
      <c r="B87" s="704" t="s">
        <v>45</v>
      </c>
      <c r="C87" s="505">
        <v>26</v>
      </c>
      <c r="D87" s="425">
        <v>0.01</v>
      </c>
      <c r="E87" s="417">
        <v>1.8434466820745536E-8</v>
      </c>
      <c r="F87" s="426">
        <v>2.3584991696787521</v>
      </c>
      <c r="G87" s="122">
        <f t="shared" si="12"/>
        <v>0.98160970195442643</v>
      </c>
      <c r="H87" s="126">
        <f t="shared" si="13"/>
        <v>25.521852250815087</v>
      </c>
      <c r="J87" s="749"/>
      <c r="K87" s="212">
        <v>40</v>
      </c>
      <c r="L87" s="214">
        <v>32.220804027343604</v>
      </c>
      <c r="M87" s="209">
        <v>1.9880763821320799</v>
      </c>
      <c r="N87" s="206">
        <v>1.5409999999999999</v>
      </c>
      <c r="O87" s="236">
        <f t="shared" si="21"/>
        <v>704.58382378530246</v>
      </c>
      <c r="Q87" s="671" t="s">
        <v>45</v>
      </c>
      <c r="R87" s="164">
        <v>26</v>
      </c>
      <c r="S87" s="131">
        <v>7.8450000000000006E-2</v>
      </c>
      <c r="T87" s="131">
        <v>1.6379999999999999E-2</v>
      </c>
      <c r="U87" s="131">
        <v>4.5080000000000001E-4</v>
      </c>
      <c r="V87" s="131">
        <v>7.2459999999999997E-2</v>
      </c>
      <c r="W87" s="131">
        <v>3.994E-4</v>
      </c>
      <c r="X87" s="132">
        <v>2.0169999999999999</v>
      </c>
      <c r="Y87" s="133">
        <f t="shared" si="22"/>
        <v>0.12745867876787711</v>
      </c>
    </row>
    <row r="88" spans="2:25" ht="24" customHeight="1" thickBot="1" x14ac:dyDescent="0.3">
      <c r="B88" s="702"/>
      <c r="C88" s="559">
        <v>40</v>
      </c>
      <c r="D88" s="538">
        <v>0.01</v>
      </c>
      <c r="E88" s="432">
        <v>2.1080309529427707E-7</v>
      </c>
      <c r="F88" s="458">
        <v>2.0847274611575566</v>
      </c>
      <c r="G88" s="345">
        <f t="shared" si="12"/>
        <v>0.9316088344083191</v>
      </c>
      <c r="H88" s="126">
        <f t="shared" si="13"/>
        <v>37.264353376332764</v>
      </c>
      <c r="J88" s="750"/>
      <c r="K88" s="231">
        <v>60</v>
      </c>
      <c r="L88" s="215">
        <v>36.248404530761562</v>
      </c>
      <c r="M88" s="216">
        <v>1.9880763821320799</v>
      </c>
      <c r="N88" s="211">
        <v>1.5409999999999999</v>
      </c>
      <c r="O88" s="191">
        <f t="shared" si="21"/>
        <v>704.58382378530246</v>
      </c>
      <c r="Q88" s="672"/>
      <c r="R88" s="560">
        <v>40</v>
      </c>
      <c r="S88" s="355">
        <v>5.2859999999999997E-2</v>
      </c>
      <c r="T88" s="143">
        <v>1.423E-2</v>
      </c>
      <c r="U88" s="143">
        <v>5.8870000000000005E-4</v>
      </c>
      <c r="V88" s="135">
        <v>7.3980000000000004E-2</v>
      </c>
      <c r="W88" s="135">
        <v>5.0580000000000004E-4</v>
      </c>
      <c r="X88" s="144">
        <v>1.6619999999999999</v>
      </c>
      <c r="Y88" s="133">
        <f t="shared" si="22"/>
        <v>0.19587301334238802</v>
      </c>
    </row>
    <row r="89" spans="2:25" ht="24" customHeight="1" thickBot="1" x14ac:dyDescent="0.3">
      <c r="B89" s="703"/>
      <c r="C89" s="506">
        <v>60</v>
      </c>
      <c r="D89" s="422">
        <v>0.01</v>
      </c>
      <c r="E89" s="423">
        <v>1.3396219476218951E-6</v>
      </c>
      <c r="F89" s="424">
        <v>1.879469017723491</v>
      </c>
      <c r="G89" s="128">
        <f t="shared" si="12"/>
        <v>0.82713069787347904</v>
      </c>
      <c r="H89" s="125">
        <f t="shared" si="13"/>
        <v>49.627841872408744</v>
      </c>
      <c r="J89" s="713" t="s">
        <v>59</v>
      </c>
      <c r="K89" s="228">
        <v>26</v>
      </c>
      <c r="L89" s="558">
        <v>18.013796734396166</v>
      </c>
      <c r="M89" s="248">
        <v>1.6020000000000001</v>
      </c>
      <c r="N89" s="208">
        <v>1.4009616935498495</v>
      </c>
      <c r="O89" s="191">
        <f t="shared" si="21"/>
        <v>587.48368876668542</v>
      </c>
      <c r="Q89" s="673"/>
      <c r="R89" s="165">
        <v>60</v>
      </c>
      <c r="S89" s="147">
        <v>2.9207386405366326E-2</v>
      </c>
      <c r="T89" s="139">
        <v>1.2712078330598208E-2</v>
      </c>
      <c r="U89" s="139">
        <v>5.8054370157723586E-4</v>
      </c>
      <c r="V89" s="147">
        <v>6.0916887456173956E-2</v>
      </c>
      <c r="W89" s="147">
        <v>4.8127836956914869E-4</v>
      </c>
      <c r="X89" s="140">
        <v>1.3930745258330408</v>
      </c>
      <c r="Y89" s="169">
        <f t="shared" si="22"/>
        <v>0.28209238787058544</v>
      </c>
    </row>
    <row r="90" spans="2:25" ht="24" customHeight="1" x14ac:dyDescent="0.25">
      <c r="B90" s="704" t="s">
        <v>46</v>
      </c>
      <c r="C90" s="507">
        <v>26</v>
      </c>
      <c r="D90" s="425">
        <v>0.01</v>
      </c>
      <c r="E90" s="417">
        <v>1.6E-7</v>
      </c>
      <c r="F90" s="426">
        <v>2</v>
      </c>
      <c r="G90" s="122">
        <f t="shared" si="12"/>
        <v>0.96153846153846168</v>
      </c>
      <c r="H90" s="126">
        <f t="shared" si="13"/>
        <v>25.000000000000004</v>
      </c>
      <c r="J90" s="714"/>
      <c r="K90" s="632">
        <v>40</v>
      </c>
      <c r="L90" s="381">
        <v>15.694967181915082</v>
      </c>
      <c r="M90" s="209">
        <v>1.6020000000000001</v>
      </c>
      <c r="N90" s="229">
        <v>1.4009616935498495</v>
      </c>
      <c r="O90" s="196">
        <f t="shared" si="21"/>
        <v>599.93978110463684</v>
      </c>
      <c r="Q90" s="671" t="s">
        <v>46</v>
      </c>
      <c r="R90" s="166">
        <v>26</v>
      </c>
      <c r="S90" s="131">
        <v>2.7439614981749683E-2</v>
      </c>
      <c r="T90" s="131">
        <v>9.252277918882737E-3</v>
      </c>
      <c r="U90" s="131">
        <v>4.0563105776941403E-4</v>
      </c>
      <c r="V90" s="131">
        <v>8.0432593457621507E-2</v>
      </c>
      <c r="W90" s="131">
        <v>3.5682127868955554E-4</v>
      </c>
      <c r="X90" s="132">
        <v>1.5043895648356624</v>
      </c>
      <c r="Y90" s="133">
        <f t="shared" si="22"/>
        <v>0.12750628724259383</v>
      </c>
    </row>
    <row r="91" spans="2:25" ht="24" customHeight="1" thickBot="1" x14ac:dyDescent="0.3">
      <c r="B91" s="706"/>
      <c r="C91" s="508">
        <v>40</v>
      </c>
      <c r="D91" s="419">
        <v>0.01</v>
      </c>
      <c r="E91" s="420">
        <v>3.9062500000000002E-7</v>
      </c>
      <c r="F91" s="421">
        <v>2</v>
      </c>
      <c r="G91" s="129">
        <f t="shared" si="12"/>
        <v>0.91103202846975095</v>
      </c>
      <c r="H91" s="124">
        <f t="shared" si="13"/>
        <v>36.441281138790039</v>
      </c>
      <c r="J91" s="715"/>
      <c r="K91" s="231">
        <v>60</v>
      </c>
      <c r="L91" s="389">
        <v>18.013796734396166</v>
      </c>
      <c r="M91" s="216">
        <v>1.6020000000000001</v>
      </c>
      <c r="N91" s="388">
        <v>1.4009616935498495</v>
      </c>
      <c r="O91" s="236">
        <f t="shared" si="21"/>
        <v>430.85637259869895</v>
      </c>
      <c r="Q91" s="735"/>
      <c r="R91" s="167">
        <v>40</v>
      </c>
      <c r="S91" s="135">
        <v>5.065264055003868E-2</v>
      </c>
      <c r="T91" s="135">
        <v>1.472990562305233E-2</v>
      </c>
      <c r="U91" s="135">
        <v>5.7968403883469177E-4</v>
      </c>
      <c r="V91" s="135">
        <v>7.2737801634614324E-2</v>
      </c>
      <c r="W91" s="135">
        <v>5.247446913680552E-4</v>
      </c>
      <c r="X91" s="136">
        <v>1.6732902589168357</v>
      </c>
      <c r="Y91" s="133">
        <f t="shared" si="22"/>
        <v>0.19455610955921693</v>
      </c>
    </row>
    <row r="92" spans="2:25" ht="24" customHeight="1" thickBot="1" x14ac:dyDescent="0.3">
      <c r="B92" s="707"/>
      <c r="C92" s="506">
        <v>60</v>
      </c>
      <c r="D92" s="422">
        <v>0.01</v>
      </c>
      <c r="E92" s="423">
        <v>2.5748341158242288E-6</v>
      </c>
      <c r="F92" s="424">
        <v>1.7582363115735482</v>
      </c>
      <c r="G92" s="334">
        <f t="shared" si="12"/>
        <v>0.80000000000000016</v>
      </c>
      <c r="H92" s="125">
        <f t="shared" si="13"/>
        <v>48.000000000000007</v>
      </c>
      <c r="J92" s="713" t="s">
        <v>43</v>
      </c>
      <c r="K92" s="232">
        <v>26</v>
      </c>
      <c r="L92" s="213">
        <v>290.7709862663994</v>
      </c>
      <c r="M92" s="207">
        <v>2.0150000000000001</v>
      </c>
      <c r="N92" s="208">
        <v>1.194</v>
      </c>
      <c r="O92" s="204">
        <f t="shared" si="21"/>
        <v>430.85637259869895</v>
      </c>
      <c r="Q92" s="736"/>
      <c r="R92" s="165">
        <v>60</v>
      </c>
      <c r="S92" s="139">
        <v>4.2991524851870383E-2</v>
      </c>
      <c r="T92" s="139">
        <v>1.7809923300514192E-2</v>
      </c>
      <c r="U92" s="139">
        <v>6.1541624614651943E-4</v>
      </c>
      <c r="V92" s="139">
        <v>6.432923415858971E-2</v>
      </c>
      <c r="W92" s="139">
        <v>5.3202685332015055E-4</v>
      </c>
      <c r="X92" s="140">
        <v>1.5870343580311761</v>
      </c>
      <c r="Y92" s="169">
        <f t="shared" si="22"/>
        <v>0.27733327809740121</v>
      </c>
    </row>
    <row r="93" spans="2:25" ht="24" customHeight="1" x14ac:dyDescent="0.25">
      <c r="B93" s="704" t="s">
        <v>59</v>
      </c>
      <c r="C93" s="510">
        <v>26</v>
      </c>
      <c r="D93" s="538">
        <v>0.01</v>
      </c>
      <c r="E93" s="432">
        <v>4.0282767352963108E-8</v>
      </c>
      <c r="F93" s="458">
        <v>2.2497980276157885</v>
      </c>
      <c r="G93" s="345">
        <f t="shared" si="12"/>
        <v>0.9739390383662665</v>
      </c>
      <c r="H93" s="123">
        <f t="shared" si="13"/>
        <v>25.32241499752293</v>
      </c>
      <c r="J93" s="714"/>
      <c r="K93" s="230">
        <v>40</v>
      </c>
      <c r="L93" s="186">
        <v>387.69</v>
      </c>
      <c r="M93" s="187">
        <v>2.0150000000000001</v>
      </c>
      <c r="N93" s="188">
        <v>1.194</v>
      </c>
      <c r="O93" s="184">
        <f t="shared" si="21"/>
        <v>418.09603228960464</v>
      </c>
      <c r="Q93" s="671" t="s">
        <v>59</v>
      </c>
      <c r="R93" s="342">
        <v>26</v>
      </c>
      <c r="S93" s="170">
        <v>6.3990749343267858E-2</v>
      </c>
      <c r="T93" s="170">
        <v>1.0002071260609259E-2</v>
      </c>
      <c r="U93" s="153">
        <v>5.2879795276345365E-4</v>
      </c>
      <c r="V93" s="170">
        <v>9.0299262780439329E-2</v>
      </c>
      <c r="W93" s="170">
        <v>4.7687573509079062E-4</v>
      </c>
      <c r="X93" s="171">
        <v>1.6259872147696186</v>
      </c>
      <c r="Y93" s="133">
        <f t="shared" si="22"/>
        <v>0.12709256522031978</v>
      </c>
    </row>
    <row r="94" spans="2:25" ht="24" customHeight="1" thickBot="1" x14ac:dyDescent="0.3">
      <c r="B94" s="702"/>
      <c r="C94" s="561">
        <v>40</v>
      </c>
      <c r="D94" s="459">
        <v>0.01</v>
      </c>
      <c r="E94" s="420">
        <v>1.6649858277843361E-6</v>
      </c>
      <c r="F94" s="421">
        <v>1.694093696834873</v>
      </c>
      <c r="G94" s="129">
        <f t="shared" si="12"/>
        <v>0.88826997427339249</v>
      </c>
      <c r="H94" s="262">
        <f t="shared" si="13"/>
        <v>35.530798970935699</v>
      </c>
      <c r="J94" s="715"/>
      <c r="K94" s="231">
        <v>60</v>
      </c>
      <c r="L94" s="233">
        <v>436.16</v>
      </c>
      <c r="M94" s="202">
        <v>2.0150000000000001</v>
      </c>
      <c r="N94" s="200">
        <v>1.194</v>
      </c>
      <c r="O94" s="189">
        <f t="shared" si="21"/>
        <v>418.09603228960464</v>
      </c>
      <c r="Q94" s="672"/>
      <c r="R94" s="346">
        <v>40</v>
      </c>
      <c r="S94" s="355">
        <v>2.9177965255542237E-2</v>
      </c>
      <c r="T94" s="143">
        <v>1.4389003446239142E-2</v>
      </c>
      <c r="U94" s="170">
        <v>5.3961270928702958E-4</v>
      </c>
      <c r="V94" s="143">
        <v>7.9538610507560836E-2</v>
      </c>
      <c r="W94" s="135">
        <v>4.5420198675956755E-4</v>
      </c>
      <c r="X94" s="136">
        <v>1.5456063830273303</v>
      </c>
      <c r="Y94" s="133">
        <f t="shared" si="22"/>
        <v>0.19146877885020416</v>
      </c>
    </row>
    <row r="95" spans="2:25" ht="24" customHeight="1" thickBot="1" x14ac:dyDescent="0.3">
      <c r="B95" s="703"/>
      <c r="C95" s="506">
        <v>60</v>
      </c>
      <c r="D95" s="430">
        <v>0.01</v>
      </c>
      <c r="E95" s="423">
        <v>9.421429670596669E-6</v>
      </c>
      <c r="F95" s="424">
        <v>1.5129415947320599</v>
      </c>
      <c r="G95" s="128">
        <f t="shared" si="12"/>
        <v>0.74052349461225564</v>
      </c>
      <c r="H95" s="125">
        <f t="shared" si="13"/>
        <v>44.431409676735342</v>
      </c>
      <c r="J95" s="713" t="s">
        <v>54</v>
      </c>
      <c r="K95" s="228">
        <v>26</v>
      </c>
      <c r="L95" s="234">
        <v>73.44</v>
      </c>
      <c r="M95" s="235">
        <v>2.218</v>
      </c>
      <c r="N95" s="383">
        <v>1.6</v>
      </c>
      <c r="O95" s="189">
        <f t="shared" si="21"/>
        <v>485.24065331314483</v>
      </c>
      <c r="Q95" s="673"/>
      <c r="R95" s="165">
        <v>60</v>
      </c>
      <c r="S95" s="170">
        <v>2.6292886959946249E-2</v>
      </c>
      <c r="T95" s="139">
        <v>1.6359100132497018E-2</v>
      </c>
      <c r="U95" s="139">
        <v>5.5340462953250074E-4</v>
      </c>
      <c r="V95" s="139">
        <v>6.6238206405420094E-2</v>
      </c>
      <c r="W95" s="147">
        <v>4.8397901180198446E-4</v>
      </c>
      <c r="X95" s="562">
        <v>1.46006114384724</v>
      </c>
      <c r="Y95" s="406">
        <f t="shared" si="22"/>
        <v>0.26571690578119184</v>
      </c>
    </row>
    <row r="96" spans="2:25" ht="24" customHeight="1" thickBot="1" x14ac:dyDescent="0.3">
      <c r="B96" s="704" t="s">
        <v>43</v>
      </c>
      <c r="C96" s="509">
        <v>26</v>
      </c>
      <c r="D96" s="425">
        <v>0.01</v>
      </c>
      <c r="E96" s="417">
        <v>1.1633132562092038E-8</v>
      </c>
      <c r="F96" s="426">
        <v>2.2577721489963252</v>
      </c>
      <c r="G96" s="345">
        <f t="shared" si="12"/>
        <v>0.99209075122873114</v>
      </c>
      <c r="H96" s="126">
        <f t="shared" si="13"/>
        <v>25.794359531947009</v>
      </c>
      <c r="J96" s="714"/>
      <c r="K96" s="632">
        <v>40</v>
      </c>
      <c r="L96" s="237">
        <v>73.44</v>
      </c>
      <c r="M96" s="199">
        <v>2.218</v>
      </c>
      <c r="N96" s="211">
        <v>1.6</v>
      </c>
      <c r="O96" s="236">
        <f t="shared" si="21"/>
        <v>500.00000272824047</v>
      </c>
      <c r="Q96" s="671" t="s">
        <v>43</v>
      </c>
      <c r="R96" s="168">
        <v>26</v>
      </c>
      <c r="S96" s="173">
        <v>7.818860596437234E-2</v>
      </c>
      <c r="T96" s="153">
        <v>2.3781649134263477E-2</v>
      </c>
      <c r="U96" s="153">
        <v>5.0986390356067088E-4</v>
      </c>
      <c r="V96" s="153">
        <v>9.6771985193407253E-2</v>
      </c>
      <c r="W96" s="131">
        <v>3.679024013662751E-4</v>
      </c>
      <c r="X96" s="132">
        <v>2.1207528712049655</v>
      </c>
      <c r="Y96" s="155">
        <f t="shared" si="22"/>
        <v>0.12570843430226236</v>
      </c>
    </row>
    <row r="97" spans="1:25" ht="24" customHeight="1" thickBot="1" x14ac:dyDescent="0.3">
      <c r="B97" s="702"/>
      <c r="C97" s="503">
        <v>40</v>
      </c>
      <c r="D97" s="419">
        <v>0.01</v>
      </c>
      <c r="E97" s="420">
        <v>4.0282767352963108E-8</v>
      </c>
      <c r="F97" s="421">
        <v>2.2497980276157885</v>
      </c>
      <c r="G97" s="347">
        <f t="shared" si="12"/>
        <v>0.9739390383662665</v>
      </c>
      <c r="H97" s="124">
        <f t="shared" si="13"/>
        <v>38.957561534650658</v>
      </c>
      <c r="J97" s="715"/>
      <c r="K97" s="212">
        <v>60</v>
      </c>
      <c r="L97" s="605">
        <v>73.62</v>
      </c>
      <c r="M97" s="199">
        <v>2.218</v>
      </c>
      <c r="N97" s="211">
        <v>1.56</v>
      </c>
      <c r="O97" s="196">
        <f t="shared" si="21"/>
        <v>499.97634154596437</v>
      </c>
      <c r="Q97" s="672"/>
      <c r="R97" s="162">
        <v>40</v>
      </c>
      <c r="S97" s="135">
        <v>0.13180179060189579</v>
      </c>
      <c r="T97" s="135">
        <v>2.6067027670404634E-2</v>
      </c>
      <c r="U97" s="135">
        <v>7.2034350810148745E-4</v>
      </c>
      <c r="V97" s="135">
        <v>8.6011723024308415E-2</v>
      </c>
      <c r="W97" s="135">
        <v>5.5470394118935522E-4</v>
      </c>
      <c r="X97" s="136">
        <v>2.2450349560755458</v>
      </c>
      <c r="Y97" s="137">
        <f t="shared" si="22"/>
        <v>0.19600489729250392</v>
      </c>
    </row>
    <row r="98" spans="1:25" ht="24" customHeight="1" thickBot="1" x14ac:dyDescent="0.3">
      <c r="B98" s="703"/>
      <c r="C98" s="504">
        <v>60</v>
      </c>
      <c r="D98" s="430">
        <v>0.01</v>
      </c>
      <c r="E98" s="423">
        <v>8.1288024180048381E-8</v>
      </c>
      <c r="F98" s="424">
        <v>2.2692318730121444</v>
      </c>
      <c r="G98" s="128">
        <f t="shared" si="12"/>
        <v>0.94494581251802712</v>
      </c>
      <c r="H98" s="125">
        <f t="shared" si="13"/>
        <v>56.696748751081628</v>
      </c>
      <c r="J98" s="713" t="s">
        <v>62</v>
      </c>
      <c r="K98" s="228">
        <v>26</v>
      </c>
      <c r="L98" s="213">
        <v>100.70041177688397</v>
      </c>
      <c r="M98" s="609">
        <v>2.2626297986747002</v>
      </c>
      <c r="N98" s="606">
        <v>1.5188531062689468</v>
      </c>
      <c r="O98" s="191">
        <f t="shared" si="21"/>
        <v>549.93060656130854</v>
      </c>
      <c r="Q98" s="673"/>
      <c r="R98" s="163">
        <v>60</v>
      </c>
      <c r="S98" s="139">
        <v>8.347789268982346E-2</v>
      </c>
      <c r="T98" s="139">
        <v>1.4365984875229436E-2</v>
      </c>
      <c r="U98" s="139">
        <v>4.4915882603515717E-4</v>
      </c>
      <c r="V98" s="139">
        <v>4.4560905018007635E-2</v>
      </c>
      <c r="W98" s="139">
        <v>3.0638760676748644E-4</v>
      </c>
      <c r="X98" s="140">
        <v>1.6697107624012391</v>
      </c>
      <c r="Y98" s="169">
        <f t="shared" si="22"/>
        <v>0.29553860381986896</v>
      </c>
    </row>
    <row r="99" spans="1:25" ht="24" customHeight="1" x14ac:dyDescent="0.25">
      <c r="B99" s="704" t="s">
        <v>47</v>
      </c>
      <c r="C99" s="594">
        <v>26</v>
      </c>
      <c r="D99" s="446">
        <v>0.01</v>
      </c>
      <c r="E99" s="445">
        <f>0.0000000000680261</f>
        <v>6.8026099999999994E-11</v>
      </c>
      <c r="F99" s="447">
        <v>3.3580000000000001</v>
      </c>
      <c r="G99" s="345">
        <f t="shared" si="12"/>
        <v>0.99656187930771112</v>
      </c>
      <c r="H99" s="127">
        <f t="shared" si="13"/>
        <v>25.91060886200049</v>
      </c>
      <c r="J99" s="714"/>
      <c r="K99" s="632">
        <v>40</v>
      </c>
      <c r="L99" s="558">
        <v>63.634514064292183</v>
      </c>
      <c r="M99" s="210">
        <v>2.2626297986747002</v>
      </c>
      <c r="N99" s="604">
        <v>1.5466347937109775</v>
      </c>
      <c r="O99" s="191">
        <f t="shared" si="21"/>
        <v>549.93060656130854</v>
      </c>
      <c r="Q99" s="671" t="s">
        <v>54</v>
      </c>
      <c r="R99" s="342">
        <v>26</v>
      </c>
      <c r="S99" s="170">
        <v>0.1762</v>
      </c>
      <c r="T99" s="153">
        <v>4.0340000000000001E-2</v>
      </c>
      <c r="U99" s="153">
        <v>7.3780000000000004E-4</v>
      </c>
      <c r="V99" s="153">
        <v>0.11169999999999999</v>
      </c>
      <c r="W99" s="153">
        <v>6.0789999999999998E-4</v>
      </c>
      <c r="X99" s="171">
        <v>2.9750000000000001</v>
      </c>
      <c r="Y99" s="133">
        <f t="shared" si="22"/>
        <v>0.12581963287275871</v>
      </c>
    </row>
    <row r="100" spans="1:25" ht="24" customHeight="1" thickBot="1" x14ac:dyDescent="0.3">
      <c r="B100" s="702"/>
      <c r="C100" s="595">
        <v>40</v>
      </c>
      <c r="D100" s="419">
        <v>0.01</v>
      </c>
      <c r="E100" s="420">
        <f>0.0000000018711</f>
        <v>1.8710999999999999E-9</v>
      </c>
      <c r="F100" s="448">
        <v>2.95</v>
      </c>
      <c r="G100" s="129">
        <f t="shared" si="12"/>
        <v>0.98112943869563607</v>
      </c>
      <c r="H100" s="124">
        <f t="shared" si="13"/>
        <v>39.245177547825442</v>
      </c>
      <c r="J100" s="715"/>
      <c r="K100" s="231">
        <v>60</v>
      </c>
      <c r="L100" s="215">
        <v>63.634514064292183</v>
      </c>
      <c r="M100" s="216">
        <v>2.2626297986747002</v>
      </c>
      <c r="N100" s="607">
        <v>1.5466347937109775</v>
      </c>
      <c r="O100" s="191">
        <f t="shared" si="21"/>
        <v>599.99987756972507</v>
      </c>
      <c r="Q100" s="672"/>
      <c r="R100" s="346">
        <v>40</v>
      </c>
      <c r="S100" s="172">
        <v>0.20730000000000001</v>
      </c>
      <c r="T100" s="170">
        <v>3.005E-2</v>
      </c>
      <c r="U100" s="170">
        <v>8.317E-4</v>
      </c>
      <c r="V100" s="170">
        <v>8.3940000000000001E-2</v>
      </c>
      <c r="W100" s="170">
        <v>6.78E-4</v>
      </c>
      <c r="X100" s="144">
        <v>2.72</v>
      </c>
      <c r="Y100" s="137">
        <f t="shared" si="22"/>
        <v>0.19647322932363706</v>
      </c>
    </row>
    <row r="101" spans="1:25" ht="24" customHeight="1" thickBot="1" x14ac:dyDescent="0.3">
      <c r="B101" s="703"/>
      <c r="C101" s="631">
        <v>60</v>
      </c>
      <c r="D101" s="430">
        <v>0.01</v>
      </c>
      <c r="E101" s="423">
        <f>0.000000437434</f>
        <v>4.3743400000000002E-7</v>
      </c>
      <c r="F101" s="424">
        <f>2</f>
        <v>2</v>
      </c>
      <c r="G101" s="128">
        <f t="shared" si="12"/>
        <v>0.9014218577673494</v>
      </c>
      <c r="H101" s="125">
        <f t="shared" si="13"/>
        <v>54.085311466040963</v>
      </c>
      <c r="J101" s="713" t="s">
        <v>25</v>
      </c>
      <c r="K101" s="232">
        <v>26</v>
      </c>
      <c r="L101" s="311">
        <v>35.75</v>
      </c>
      <c r="M101" s="385">
        <v>1.9119999999999999</v>
      </c>
      <c r="N101" s="385">
        <v>1.49</v>
      </c>
      <c r="O101" s="196">
        <f t="shared" si="21"/>
        <v>730.09236795680431</v>
      </c>
      <c r="Q101" s="673"/>
      <c r="R101" s="346">
        <v>60</v>
      </c>
      <c r="S101" s="172">
        <v>0.1852</v>
      </c>
      <c r="T101" s="143">
        <v>3.6249999999999998E-2</v>
      </c>
      <c r="U101" s="143">
        <v>8.0860000000000003E-4</v>
      </c>
      <c r="V101" s="143">
        <v>7.7740000000000004E-2</v>
      </c>
      <c r="W101" s="143">
        <v>6.1220000000000003E-4</v>
      </c>
      <c r="X101" s="144">
        <v>2.6230000000000002</v>
      </c>
      <c r="Y101" s="152">
        <f t="shared" si="22"/>
        <v>0.29304716279269555</v>
      </c>
    </row>
    <row r="102" spans="1:25" ht="24" customHeight="1" x14ac:dyDescent="0.25">
      <c r="B102" s="704" t="s">
        <v>62</v>
      </c>
      <c r="C102" s="600">
        <v>26</v>
      </c>
      <c r="D102" s="444">
        <v>0.01</v>
      </c>
      <c r="E102" s="445">
        <v>9.2350669306830963E-10</v>
      </c>
      <c r="F102" s="418">
        <v>2.6923619933554619</v>
      </c>
      <c r="G102" s="556">
        <f t="shared" si="12"/>
        <v>0.99654713055429156</v>
      </c>
      <c r="H102" s="123">
        <f t="shared" si="13"/>
        <v>25.910225394411579</v>
      </c>
      <c r="J102" s="714"/>
      <c r="K102" s="230">
        <v>40</v>
      </c>
      <c r="L102" s="313">
        <v>35.75</v>
      </c>
      <c r="M102" s="312">
        <v>1.9119999999999999</v>
      </c>
      <c r="N102" s="312">
        <v>1.49</v>
      </c>
      <c r="O102" s="189">
        <f t="shared" si="21"/>
        <v>950.77194270450707</v>
      </c>
      <c r="Q102" s="671" t="s">
        <v>62</v>
      </c>
      <c r="R102" s="596">
        <v>26</v>
      </c>
      <c r="S102" s="362">
        <v>8.5649569101755252E-2</v>
      </c>
      <c r="T102" s="324">
        <v>7.1918517638305543E-3</v>
      </c>
      <c r="U102" s="153">
        <v>1.6766273027504704E-4</v>
      </c>
      <c r="V102" s="324">
        <v>3.3788301868411898E-2</v>
      </c>
      <c r="W102" s="324">
        <v>1.1306861068233903E-4</v>
      </c>
      <c r="X102" s="608">
        <v>1.7008767948774133</v>
      </c>
      <c r="Y102" s="160">
        <f t="shared" si="22"/>
        <v>0.12238817742045247</v>
      </c>
    </row>
    <row r="103" spans="1:25" ht="24" customHeight="1" x14ac:dyDescent="0.25">
      <c r="B103" s="702"/>
      <c r="C103" s="508">
        <v>40</v>
      </c>
      <c r="D103" s="431">
        <v>0.01</v>
      </c>
      <c r="E103" s="432">
        <v>8.2698920361063483E-13</v>
      </c>
      <c r="F103" s="421">
        <v>4.1200854342122906</v>
      </c>
      <c r="G103" s="347">
        <f t="shared" si="12"/>
        <v>0.99917388124705442</v>
      </c>
      <c r="H103" s="262">
        <f t="shared" si="13"/>
        <v>39.966955249882176</v>
      </c>
      <c r="J103" s="714"/>
      <c r="K103" s="230">
        <v>60</v>
      </c>
      <c r="L103" s="313">
        <v>114.54</v>
      </c>
      <c r="M103" s="312">
        <v>1.893</v>
      </c>
      <c r="N103" s="569">
        <v>1.26</v>
      </c>
      <c r="O103" s="189">
        <f t="shared" si="21"/>
        <v>950.77194270450707</v>
      </c>
      <c r="Q103" s="672"/>
      <c r="R103" s="167">
        <v>40</v>
      </c>
      <c r="S103" s="355">
        <v>4.8751530181780689E-2</v>
      </c>
      <c r="T103" s="143">
        <v>0.01</v>
      </c>
      <c r="U103" s="135">
        <v>1.8346329439499111E-4</v>
      </c>
      <c r="V103" s="143">
        <v>2.9521222108273442E-2</v>
      </c>
      <c r="W103" s="135">
        <v>1.0621964862806555E-4</v>
      </c>
      <c r="X103" s="136">
        <v>1.6194843077622969</v>
      </c>
      <c r="Y103" s="133">
        <f t="shared" si="22"/>
        <v>0.1976282131939486</v>
      </c>
    </row>
    <row r="104" spans="1:25" ht="24" customHeight="1" thickBot="1" x14ac:dyDescent="0.3">
      <c r="B104" s="703"/>
      <c r="C104" s="511">
        <v>60</v>
      </c>
      <c r="D104" s="433">
        <v>0.01</v>
      </c>
      <c r="E104" s="423">
        <v>1.1488935448216533E-10</v>
      </c>
      <c r="F104" s="435">
        <v>3.4190225827029095</v>
      </c>
      <c r="G104" s="128">
        <f t="shared" si="12"/>
        <v>0.99265662600293658</v>
      </c>
      <c r="H104" s="125">
        <f t="shared" si="13"/>
        <v>59.559397560176194</v>
      </c>
      <c r="J104" s="715"/>
      <c r="K104" s="632">
        <v>75</v>
      </c>
      <c r="L104" s="650">
        <v>298.96018327055737</v>
      </c>
      <c r="M104" s="564">
        <v>1.893</v>
      </c>
      <c r="N104" s="651">
        <v>1.0581783278149937</v>
      </c>
      <c r="O104" s="191">
        <f t="shared" si="21"/>
        <v>1270.6951649614011</v>
      </c>
      <c r="Q104" s="673"/>
      <c r="R104" s="341">
        <v>60</v>
      </c>
      <c r="S104" s="363">
        <v>5.1556839915091864E-2</v>
      </c>
      <c r="T104" s="139">
        <v>1.0038149729255357E-2</v>
      </c>
      <c r="U104" s="147">
        <v>2.8225021328052709E-4</v>
      </c>
      <c r="V104" s="139">
        <v>2.9873943167946188E-2</v>
      </c>
      <c r="W104" s="147">
        <v>1.5265586099388599E-4</v>
      </c>
      <c r="X104" s="562">
        <v>1.4582762224661436</v>
      </c>
      <c r="Y104" s="148">
        <f t="shared" si="22"/>
        <v>0.2999269454484037</v>
      </c>
    </row>
    <row r="105" spans="1:25" ht="24" customHeight="1" x14ac:dyDescent="0.25">
      <c r="A105" s="309"/>
      <c r="B105" s="702" t="s">
        <v>25</v>
      </c>
      <c r="C105" s="502">
        <v>26</v>
      </c>
      <c r="D105" s="449">
        <v>0.01</v>
      </c>
      <c r="E105" s="450">
        <v>8.2503999999999996E-8</v>
      </c>
      <c r="F105" s="451">
        <v>2.12</v>
      </c>
      <c r="G105" s="557">
        <f t="shared" ref="G105:G107" si="23">IF(OR(0.01*(1/(D105+E105*(D$6^F105)))&lt;0.3,0.01*(1/(D105+E105*(D$6^F105)))&gt;1),"Under 30%",0.01*(1/(D105+E105*(D$6^F105))))</f>
        <v>0.9680700528708398</v>
      </c>
      <c r="H105" s="126">
        <f t="shared" ref="H105:H107" si="24">IF(G105="Under 30%","Out of Range",G105*C105)</f>
        <v>25.169821374641835</v>
      </c>
      <c r="J105" s="713" t="s">
        <v>51</v>
      </c>
      <c r="K105" s="638">
        <v>26</v>
      </c>
      <c r="L105" s="316">
        <v>5.7253092408244362</v>
      </c>
      <c r="M105" s="317">
        <v>2.0588494947925171</v>
      </c>
      <c r="N105" s="385">
        <v>2</v>
      </c>
      <c r="O105" s="196">
        <f t="shared" si="21"/>
        <v>622.88631962501279</v>
      </c>
      <c r="Q105" s="671" t="s">
        <v>25</v>
      </c>
      <c r="R105" s="168">
        <v>26</v>
      </c>
      <c r="S105" s="350">
        <v>3.909964060933787E-2</v>
      </c>
      <c r="T105" s="178">
        <v>1.4694858495494997E-2</v>
      </c>
      <c r="U105" s="351">
        <v>5.5584580158581326E-4</v>
      </c>
      <c r="V105" s="351">
        <v>9.4294229115336331E-2</v>
      </c>
      <c r="W105" s="351">
        <v>5.0626312967281682E-4</v>
      </c>
      <c r="X105" s="330">
        <v>1.7588157088261682</v>
      </c>
      <c r="Y105" s="155">
        <f t="shared" si="22"/>
        <v>0.12741996424709104</v>
      </c>
    </row>
    <row r="106" spans="1:25" ht="24" customHeight="1" x14ac:dyDescent="0.25">
      <c r="A106" s="309"/>
      <c r="B106" s="702"/>
      <c r="C106" s="503">
        <v>40</v>
      </c>
      <c r="D106" s="452">
        <v>0.01</v>
      </c>
      <c r="E106" s="438">
        <v>4.4443999999999997E-7</v>
      </c>
      <c r="F106" s="440">
        <v>2</v>
      </c>
      <c r="G106" s="345">
        <f t="shared" si="23"/>
        <v>0.90000090000089994</v>
      </c>
      <c r="H106" s="124">
        <f t="shared" si="24"/>
        <v>36.000036000035998</v>
      </c>
      <c r="J106" s="714"/>
      <c r="K106" s="230">
        <v>40</v>
      </c>
      <c r="L106" s="313">
        <v>10.825127815267361</v>
      </c>
      <c r="M106" s="312">
        <v>2.0805695817790593</v>
      </c>
      <c r="N106" s="312">
        <v>1.8932222200197995</v>
      </c>
      <c r="O106" s="189">
        <f t="shared" si="21"/>
        <v>622.88631962501279</v>
      </c>
      <c r="Q106" s="672"/>
      <c r="R106" s="162">
        <v>40</v>
      </c>
      <c r="S106" s="357">
        <v>4.569954036124E-2</v>
      </c>
      <c r="T106" s="174">
        <v>1.3147210677867322E-2</v>
      </c>
      <c r="U106" s="175">
        <v>5.5184536573948722E-4</v>
      </c>
      <c r="V106" s="175">
        <v>6.9065580575722318E-2</v>
      </c>
      <c r="W106" s="174">
        <v>5.200256318438842E-4</v>
      </c>
      <c r="X106" s="310">
        <v>1.6138690776510269</v>
      </c>
      <c r="Y106" s="137">
        <f t="shared" si="22"/>
        <v>0.19399969689671287</v>
      </c>
    </row>
    <row r="107" spans="1:25" ht="24" customHeight="1" thickBot="1" x14ac:dyDescent="0.3">
      <c r="A107" s="309"/>
      <c r="B107" s="702"/>
      <c r="C107" s="503">
        <v>60</v>
      </c>
      <c r="D107" s="645">
        <v>0.01</v>
      </c>
      <c r="E107" s="438">
        <v>3.3712E-6</v>
      </c>
      <c r="F107" s="440">
        <v>1.736</v>
      </c>
      <c r="G107" s="129">
        <f t="shared" si="23"/>
        <v>0.76920003398029113</v>
      </c>
      <c r="H107" s="124">
        <f t="shared" si="24"/>
        <v>46.152002038817471</v>
      </c>
      <c r="J107" s="714"/>
      <c r="K107" s="231">
        <v>60</v>
      </c>
      <c r="L107" s="314">
        <v>10.825127815267361</v>
      </c>
      <c r="M107" s="566">
        <v>2.0805695817790593</v>
      </c>
      <c r="N107" s="384">
        <v>1.8932222200197995</v>
      </c>
      <c r="O107" s="204">
        <f t="shared" si="21"/>
        <v>622.88631962501279</v>
      </c>
      <c r="Q107" s="672"/>
      <c r="R107" s="163">
        <v>60</v>
      </c>
      <c r="S107" s="179">
        <v>3.5109104340694343E-2</v>
      </c>
      <c r="T107" s="358">
        <v>1.6506147869253408E-2</v>
      </c>
      <c r="U107" s="176">
        <v>6.1648253834503924E-4</v>
      </c>
      <c r="V107" s="176">
        <v>6.5432767626987187E-2</v>
      </c>
      <c r="W107" s="358">
        <v>5.5992561655310779E-4</v>
      </c>
      <c r="X107" s="329">
        <v>1.5113093272132754</v>
      </c>
      <c r="Y107" s="152">
        <f t="shared" ref="Y107" si="25">IF(T$6&gt;240,"out of range",IF($T$6="","",((S107+T107*$T$6+U107*$T$6^2)/(1+V107*$T$6+W107*$T$6^2))^X107))</f>
        <v>0.27289479161748265</v>
      </c>
    </row>
    <row r="108" spans="1:25" ht="24" customHeight="1" thickBot="1" x14ac:dyDescent="0.3">
      <c r="A108" s="309"/>
      <c r="B108" s="703"/>
      <c r="C108" s="643" t="s">
        <v>64</v>
      </c>
      <c r="D108" s="644">
        <v>0.01</v>
      </c>
      <c r="E108" s="646">
        <v>8.7102601041887193E-6</v>
      </c>
      <c r="F108" s="647">
        <v>1.7582363115735482</v>
      </c>
      <c r="G108" s="348">
        <f t="shared" si="12"/>
        <v>0.54179668814819015</v>
      </c>
      <c r="H108" s="335">
        <f t="shared" si="13"/>
        <v>40.634751611114261</v>
      </c>
      <c r="J108" s="715"/>
      <c r="K108" s="231">
        <v>75</v>
      </c>
      <c r="L108" s="314">
        <v>304.35171175773087</v>
      </c>
      <c r="M108" s="566">
        <v>2.0805695817790602</v>
      </c>
      <c r="N108" s="384">
        <v>1.1876724974286013</v>
      </c>
      <c r="O108" s="204">
        <f t="shared" si="21"/>
        <v>599.99999999925956</v>
      </c>
      <c r="Q108" s="673"/>
      <c r="R108" s="163" t="s">
        <v>64</v>
      </c>
      <c r="S108" s="179">
        <v>2.0877423674495927E-2</v>
      </c>
      <c r="T108" s="358">
        <v>1.5377382129987086E-2</v>
      </c>
      <c r="U108" s="176">
        <v>1.1259832115829327E-4</v>
      </c>
      <c r="V108" s="176">
        <v>2.5258412863219483E-2</v>
      </c>
      <c r="W108" s="358">
        <v>1.3656366510273564E-4</v>
      </c>
      <c r="X108" s="329">
        <v>1.3662303313558364</v>
      </c>
      <c r="Y108" s="152">
        <f t="shared" si="22"/>
        <v>0.29709617492898416</v>
      </c>
    </row>
    <row r="109" spans="1:25" ht="24" customHeight="1" x14ac:dyDescent="0.25">
      <c r="A109" s="309"/>
      <c r="B109" s="704" t="s">
        <v>51</v>
      </c>
      <c r="C109" s="510">
        <v>26</v>
      </c>
      <c r="D109" s="452">
        <v>0.01</v>
      </c>
      <c r="E109" s="438">
        <v>3.4443808411203399E-8</v>
      </c>
      <c r="F109" s="439">
        <v>2.2053376776478877</v>
      </c>
      <c r="G109" s="122">
        <f t="shared" ref="G109:G111" si="26">IF(OR(0.01*(1/(D109+E109*(D$6^F109)))&lt;0.3,0.01*(1/(D109+E109*(D$6^F109)))&gt;1),"Under 30%",0.01*(1/(D109+E109*(D$6^F109))))</f>
        <v>0.98113560996571514</v>
      </c>
      <c r="H109" s="126">
        <f t="shared" ref="H109:H111" si="27">IF(G109="Under 30%","Out of Range",G109*C109)</f>
        <v>25.509525859108592</v>
      </c>
      <c r="J109" s="713" t="s">
        <v>26</v>
      </c>
      <c r="K109" s="228">
        <v>26</v>
      </c>
      <c r="L109" s="316">
        <v>515.7248213074671</v>
      </c>
      <c r="M109" s="317">
        <v>2.0490402255046698</v>
      </c>
      <c r="N109" s="386">
        <v>1.1000000000000001</v>
      </c>
      <c r="O109" s="236">
        <f t="shared" si="21"/>
        <v>478.70764334843858</v>
      </c>
      <c r="Q109" s="671" t="s">
        <v>51</v>
      </c>
      <c r="R109" s="342">
        <v>26</v>
      </c>
      <c r="S109" s="177">
        <v>4.2082645142662599E-2</v>
      </c>
      <c r="T109" s="178">
        <v>1.0558329225955185E-2</v>
      </c>
      <c r="U109" s="178">
        <v>2.0182634585744371E-4</v>
      </c>
      <c r="V109" s="351">
        <v>4.1437753706274581E-2</v>
      </c>
      <c r="W109" s="351">
        <v>1.6291941872367325E-4</v>
      </c>
      <c r="X109" s="327">
        <v>1.7546280909345402</v>
      </c>
      <c r="Y109" s="155">
        <f t="shared" si="22"/>
        <v>0.12726523837447806</v>
      </c>
    </row>
    <row r="110" spans="1:25" ht="24" customHeight="1" x14ac:dyDescent="0.25">
      <c r="A110" s="309"/>
      <c r="B110" s="702"/>
      <c r="C110" s="561">
        <v>40</v>
      </c>
      <c r="D110" s="452">
        <v>0.01</v>
      </c>
      <c r="E110" s="438">
        <v>7.7808328423781968E-8</v>
      </c>
      <c r="F110" s="440">
        <v>2.2534569616579643</v>
      </c>
      <c r="G110" s="129">
        <f t="shared" si="26"/>
        <v>0.95018174059343485</v>
      </c>
      <c r="H110" s="124">
        <f t="shared" si="27"/>
        <v>38.007269623737393</v>
      </c>
      <c r="J110" s="714"/>
      <c r="K110" s="230">
        <v>40</v>
      </c>
      <c r="L110" s="313">
        <v>546.6753115082023</v>
      </c>
      <c r="M110" s="312">
        <v>2.079653103883357</v>
      </c>
      <c r="N110" s="312">
        <v>1.1599999999999999</v>
      </c>
      <c r="O110" s="191">
        <f t="shared" ref="O110:O137" si="28">IF(OR($K$6=0,$N$6=0),"",L118*$K$6^M118*$N$6^N118)</f>
        <v>478.70764334843858</v>
      </c>
      <c r="Q110" s="672"/>
      <c r="R110" s="167">
        <v>40</v>
      </c>
      <c r="S110" s="356">
        <v>4.355919927318893E-2</v>
      </c>
      <c r="T110" s="344">
        <v>0.01</v>
      </c>
      <c r="U110" s="344">
        <v>2.1569672279175671E-4</v>
      </c>
      <c r="V110" s="175">
        <v>3.2138406261670568E-2</v>
      </c>
      <c r="W110" s="175">
        <v>1.7684363280165007E-4</v>
      </c>
      <c r="X110" s="331">
        <v>1.5664797753580908</v>
      </c>
      <c r="Y110" s="137">
        <f t="shared" si="22"/>
        <v>0.19755607559427313</v>
      </c>
    </row>
    <row r="111" spans="1:25" ht="24" customHeight="1" thickBot="1" x14ac:dyDescent="0.3">
      <c r="B111" s="702"/>
      <c r="C111" s="508">
        <v>60</v>
      </c>
      <c r="D111" s="645">
        <v>0.01</v>
      </c>
      <c r="E111" s="438">
        <v>1.0950461184364637E-6</v>
      </c>
      <c r="F111" s="440">
        <v>1.8887637358454608</v>
      </c>
      <c r="G111" s="648">
        <f t="shared" si="26"/>
        <v>0.84949640085760136</v>
      </c>
      <c r="H111" s="124">
        <f t="shared" si="27"/>
        <v>50.969784051456081</v>
      </c>
      <c r="J111" s="714"/>
      <c r="K111" s="212">
        <v>60</v>
      </c>
      <c r="L111" s="313">
        <v>546.6753115082023</v>
      </c>
      <c r="M111" s="312">
        <v>2.079653103883357</v>
      </c>
      <c r="N111" s="312">
        <v>1.1599999999999999</v>
      </c>
      <c r="O111" s="204">
        <f t="shared" si="28"/>
        <v>478.70764334843858</v>
      </c>
      <c r="Q111" s="672"/>
      <c r="R111" s="342">
        <v>60</v>
      </c>
      <c r="S111" s="179">
        <v>4.1676324488707409E-2</v>
      </c>
      <c r="T111" s="176">
        <v>1.2254433506558906E-2</v>
      </c>
      <c r="U111" s="176">
        <v>2.2891896680398368E-4</v>
      </c>
      <c r="V111" s="176">
        <v>2.8927960213057751E-2</v>
      </c>
      <c r="W111" s="176">
        <v>1.8224523156282064E-4</v>
      </c>
      <c r="X111" s="332">
        <v>1.4596960203739995</v>
      </c>
      <c r="Y111" s="169">
        <f t="shared" ref="Y111" si="29">IF(T$6&gt;240,"out of range",IF($T$6="","",((S111+T111*$T$6+U111*$T$6^2)/(1+V111*$T$6+W111*$T$6^2))^X111))</f>
        <v>0.2845304052311784</v>
      </c>
    </row>
    <row r="112" spans="1:25" ht="24" customHeight="1" thickBot="1" x14ac:dyDescent="0.3">
      <c r="B112" s="703"/>
      <c r="C112" s="511">
        <v>75</v>
      </c>
      <c r="D112" s="644">
        <v>0.01</v>
      </c>
      <c r="E112" s="553">
        <v>7.3258285079302245E-7</v>
      </c>
      <c r="F112" s="647">
        <v>2.2053376776478877</v>
      </c>
      <c r="G112" s="334">
        <f t="shared" si="12"/>
        <v>0.70975356492463459</v>
      </c>
      <c r="H112" s="335">
        <f t="shared" si="13"/>
        <v>53.231517369347593</v>
      </c>
      <c r="J112" s="715"/>
      <c r="K112" s="231">
        <v>75</v>
      </c>
      <c r="L112" s="314">
        <v>311.03224035170632</v>
      </c>
      <c r="M112" s="315">
        <v>2.08</v>
      </c>
      <c r="N112" s="315">
        <v>1.3456179844197362</v>
      </c>
      <c r="O112" s="204">
        <f t="shared" si="28"/>
        <v>333.03630512023386</v>
      </c>
      <c r="Q112" s="673"/>
      <c r="R112" s="342">
        <v>75</v>
      </c>
      <c r="S112" s="179">
        <v>3.0403885017802685E-2</v>
      </c>
      <c r="T112" s="176">
        <v>1.4032700743692674E-2</v>
      </c>
      <c r="U112" s="176">
        <v>1.0761449299880369E-4</v>
      </c>
      <c r="V112" s="176">
        <v>1.7768565074729133E-2</v>
      </c>
      <c r="W112" s="176">
        <v>1.1958651747695276E-4</v>
      </c>
      <c r="X112" s="332">
        <v>1.3931539585682418</v>
      </c>
      <c r="Y112" s="169">
        <f t="shared" si="22"/>
        <v>0.3365730521322759</v>
      </c>
    </row>
    <row r="113" spans="1:25" ht="24" customHeight="1" x14ac:dyDescent="0.25">
      <c r="B113" s="704" t="s">
        <v>26</v>
      </c>
      <c r="C113" s="509">
        <v>26</v>
      </c>
      <c r="D113" s="449">
        <v>0.01</v>
      </c>
      <c r="E113" s="453">
        <v>1.2815531820147369E-8</v>
      </c>
      <c r="F113" s="439">
        <v>2.3584991696787521</v>
      </c>
      <c r="G113" s="345">
        <f t="shared" si="12"/>
        <v>0.9871431050842735</v>
      </c>
      <c r="H113" s="126">
        <f t="shared" si="13"/>
        <v>25.665720732191112</v>
      </c>
      <c r="J113" s="713" t="s">
        <v>24</v>
      </c>
      <c r="K113" s="228">
        <v>26</v>
      </c>
      <c r="L113" s="316">
        <v>95.15</v>
      </c>
      <c r="M113" s="317">
        <v>2.2040000000000002</v>
      </c>
      <c r="N113" s="386">
        <v>1.51</v>
      </c>
      <c r="O113" s="196">
        <f t="shared" si="28"/>
        <v>396.69957722318202</v>
      </c>
      <c r="Q113" s="671" t="s">
        <v>26</v>
      </c>
      <c r="R113" s="168">
        <v>26</v>
      </c>
      <c r="S113" s="356">
        <v>0.11562955514652688</v>
      </c>
      <c r="T113" s="344">
        <v>1.9941913337522404E-2</v>
      </c>
      <c r="U113" s="344">
        <v>4.7928361533092472E-4</v>
      </c>
      <c r="V113" s="344">
        <v>7.7222955586124645E-2</v>
      </c>
      <c r="W113" s="344">
        <v>4.0165517284681396E-4</v>
      </c>
      <c r="X113" s="328">
        <v>2.2189901891003334</v>
      </c>
      <c r="Y113" s="133">
        <f t="shared" si="22"/>
        <v>0.12659453553384167</v>
      </c>
    </row>
    <row r="114" spans="1:25" ht="24" customHeight="1" x14ac:dyDescent="0.25">
      <c r="B114" s="702"/>
      <c r="C114" s="503">
        <v>40</v>
      </c>
      <c r="D114" s="452">
        <v>0.01</v>
      </c>
      <c r="E114" s="438">
        <v>8.7432730275026952E-8</v>
      </c>
      <c r="F114" s="440">
        <v>2.1251584191255537</v>
      </c>
      <c r="G114" s="347">
        <f t="shared" si="12"/>
        <v>0.96556225321172662</v>
      </c>
      <c r="H114" s="124">
        <f t="shared" si="13"/>
        <v>38.622490128469067</v>
      </c>
      <c r="J114" s="714"/>
      <c r="K114" s="230">
        <v>40</v>
      </c>
      <c r="L114" s="313">
        <v>95.15</v>
      </c>
      <c r="M114" s="312">
        <v>2.2040000000000002</v>
      </c>
      <c r="N114" s="312">
        <v>1.51</v>
      </c>
      <c r="O114" s="184">
        <f t="shared" si="28"/>
        <v>562.49145872042698</v>
      </c>
      <c r="Q114" s="672"/>
      <c r="R114" s="162">
        <v>40</v>
      </c>
      <c r="S114" s="357">
        <v>0.1216513010757736</v>
      </c>
      <c r="T114" s="174">
        <v>1.6721040385150796E-2</v>
      </c>
      <c r="U114" s="174">
        <v>3.032087385927479E-4</v>
      </c>
      <c r="V114" s="174">
        <v>4.2891839061026796E-2</v>
      </c>
      <c r="W114" s="174">
        <v>2.314966690649804E-4</v>
      </c>
      <c r="X114" s="310">
        <v>2.103479150304584</v>
      </c>
      <c r="Y114" s="137">
        <f t="shared" si="22"/>
        <v>0.19598030809627986</v>
      </c>
    </row>
    <row r="115" spans="1:25" ht="24" customHeight="1" x14ac:dyDescent="0.25">
      <c r="B115" s="702"/>
      <c r="C115" s="503">
        <v>60</v>
      </c>
      <c r="D115" s="452">
        <v>0.01</v>
      </c>
      <c r="E115" s="438">
        <v>8.479850778908106E-8</v>
      </c>
      <c r="F115" s="440">
        <v>2.2871019216390374</v>
      </c>
      <c r="G115" s="129">
        <f t="shared" si="12"/>
        <v>0.93880959980787027</v>
      </c>
      <c r="H115" s="124">
        <f t="shared" si="13"/>
        <v>56.328575988472217</v>
      </c>
      <c r="J115" s="714"/>
      <c r="K115" s="230">
        <v>60</v>
      </c>
      <c r="L115" s="570">
        <v>95.15</v>
      </c>
      <c r="M115" s="312">
        <v>2.2040000000000002</v>
      </c>
      <c r="N115" s="569">
        <v>1.51</v>
      </c>
      <c r="O115" s="240">
        <f t="shared" si="28"/>
        <v>562.49145872042698</v>
      </c>
      <c r="Q115" s="672"/>
      <c r="R115" s="162">
        <v>60</v>
      </c>
      <c r="S115" s="357">
        <v>5.1970756552125137E-2</v>
      </c>
      <c r="T115" s="174">
        <v>1.1188064257941933E-2</v>
      </c>
      <c r="U115" s="174">
        <v>6.4353052491337157E-4</v>
      </c>
      <c r="V115" s="174">
        <v>6.3164810366762816E-2</v>
      </c>
      <c r="W115" s="174">
        <v>4.2090236712815369E-4</v>
      </c>
      <c r="X115" s="310">
        <v>1.427685795785264</v>
      </c>
      <c r="Y115" s="137">
        <f t="shared" si="22"/>
        <v>0.29584282731334577</v>
      </c>
    </row>
    <row r="116" spans="1:25" ht="24" customHeight="1" thickBot="1" x14ac:dyDescent="0.3">
      <c r="B116" s="703"/>
      <c r="C116" s="506">
        <v>75</v>
      </c>
      <c r="D116" s="454">
        <v>0.01</v>
      </c>
      <c r="E116" s="442">
        <v>1.9895289855080636E-7</v>
      </c>
      <c r="F116" s="443">
        <v>2.2611062590905808</v>
      </c>
      <c r="G116" s="334">
        <f t="shared" si="12"/>
        <v>0.87863082075755639</v>
      </c>
      <c r="H116" s="125">
        <f t="shared" si="13"/>
        <v>65.897311556816732</v>
      </c>
      <c r="J116" s="715"/>
      <c r="K116" s="633">
        <v>75</v>
      </c>
      <c r="L116" s="652">
        <v>307.94049142081485</v>
      </c>
      <c r="M116" s="653">
        <v>2.2040000000000002</v>
      </c>
      <c r="N116" s="565">
        <v>1.2468422259422518</v>
      </c>
      <c r="O116" s="189">
        <f t="shared" si="28"/>
        <v>562.49145872042698</v>
      </c>
      <c r="Q116" s="673"/>
      <c r="R116" s="165">
        <v>75</v>
      </c>
      <c r="S116" s="179">
        <v>2.4134416111128487E-2</v>
      </c>
      <c r="T116" s="358">
        <v>0.01</v>
      </c>
      <c r="U116" s="358">
        <v>1.4685940975681244E-4</v>
      </c>
      <c r="V116" s="358">
        <v>1.5256969458283472E-2</v>
      </c>
      <c r="W116" s="358">
        <v>1.063509193347181E-4</v>
      </c>
      <c r="X116" s="329">
        <v>1.2343132937541001</v>
      </c>
      <c r="Y116" s="141">
        <f t="shared" si="22"/>
        <v>0.36232118071232883</v>
      </c>
    </row>
    <row r="117" spans="1:25" ht="24" customHeight="1" x14ac:dyDescent="0.25">
      <c r="B117" s="704" t="s">
        <v>24</v>
      </c>
      <c r="C117" s="502">
        <v>26</v>
      </c>
      <c r="D117" s="455">
        <v>0.01</v>
      </c>
      <c r="E117" s="453">
        <v>8.6785905239721951E-10</v>
      </c>
      <c r="F117" s="439">
        <v>2.7138308977134478</v>
      </c>
      <c r="G117" s="345">
        <f t="shared" ref="G117:G119" si="30">IF(OR(0.01*(1/(D117+E117*(D$6^F117)))&lt;0.3,0.01*(1/(D117+E117*(D$6^F117)))&gt;1),"Under 30%",0.01*(1/(D117+E117*(D$6^F117))))</f>
        <v>0.99647116602322372</v>
      </c>
      <c r="H117" s="126">
        <f t="shared" ref="H117:H119" si="31">IF(G117="Under 30%","Out of Range",G117*C117)</f>
        <v>25.908250316603816</v>
      </c>
      <c r="J117" s="713" t="s">
        <v>58</v>
      </c>
      <c r="K117" s="632">
        <v>26</v>
      </c>
      <c r="L117" s="316">
        <v>57.904492323997701</v>
      </c>
      <c r="M117" s="564">
        <v>2.2626297986747002</v>
      </c>
      <c r="N117" s="567">
        <v>1.5899939510651659</v>
      </c>
      <c r="O117" s="184">
        <f t="shared" si="28"/>
        <v>562.49145872042698</v>
      </c>
      <c r="Q117" s="671" t="s">
        <v>24</v>
      </c>
      <c r="R117" s="161">
        <v>26</v>
      </c>
      <c r="S117" s="350">
        <v>3.8497878894417067E-2</v>
      </c>
      <c r="T117" s="351">
        <v>1.7039874063571454E-2</v>
      </c>
      <c r="U117" s="351">
        <v>5.4452050429996035E-4</v>
      </c>
      <c r="V117" s="351">
        <v>0.11750105430722049</v>
      </c>
      <c r="W117" s="351">
        <v>3.4232275834499893E-4</v>
      </c>
      <c r="X117" s="327">
        <v>1.6653184660969877</v>
      </c>
      <c r="Y117" s="133">
        <f t="shared" si="22"/>
        <v>0.12820057594784379</v>
      </c>
    </row>
    <row r="118" spans="1:25" ht="24" customHeight="1" thickBot="1" x14ac:dyDescent="0.3">
      <c r="A118" s="309"/>
      <c r="B118" s="702"/>
      <c r="C118" s="503">
        <v>40</v>
      </c>
      <c r="D118" s="452">
        <v>0.01</v>
      </c>
      <c r="E118" s="438">
        <v>9.5383325699631369E-10</v>
      </c>
      <c r="F118" s="440">
        <v>2.9495396947138968</v>
      </c>
      <c r="G118" s="347">
        <f t="shared" si="30"/>
        <v>0.99030780527968276</v>
      </c>
      <c r="H118" s="124">
        <f t="shared" si="31"/>
        <v>39.612312211187309</v>
      </c>
      <c r="J118" s="714"/>
      <c r="K118" s="212">
        <v>40</v>
      </c>
      <c r="L118" s="554">
        <v>57.904492323997701</v>
      </c>
      <c r="M118" s="315">
        <v>2.2626297986747002</v>
      </c>
      <c r="N118" s="568">
        <v>1.5899939510651659</v>
      </c>
      <c r="O118" s="240">
        <f t="shared" si="28"/>
        <v>562.49145872042698</v>
      </c>
      <c r="P118" s="309"/>
      <c r="Q118" s="672"/>
      <c r="R118" s="162">
        <v>40</v>
      </c>
      <c r="S118" s="349">
        <v>0.10049630421034073</v>
      </c>
      <c r="T118" s="174">
        <v>1.3538305238312795E-2</v>
      </c>
      <c r="U118" s="174">
        <v>5.9783719046234353E-4</v>
      </c>
      <c r="V118" s="174">
        <v>7.1411882514126682E-2</v>
      </c>
      <c r="W118" s="174">
        <v>4.3030130564683061E-4</v>
      </c>
      <c r="X118" s="331">
        <v>1.7865110036982463</v>
      </c>
      <c r="Y118" s="137">
        <f t="shared" si="22"/>
        <v>0.19664724639971107</v>
      </c>
    </row>
    <row r="119" spans="1:25" ht="24" customHeight="1" thickBot="1" x14ac:dyDescent="0.3">
      <c r="A119" s="309"/>
      <c r="B119" s="702"/>
      <c r="C119" s="503">
        <v>60</v>
      </c>
      <c r="D119" s="452">
        <v>0.01</v>
      </c>
      <c r="E119" s="438">
        <v>2.0085315375136189E-9</v>
      </c>
      <c r="F119" s="440">
        <v>2.9857368441013254</v>
      </c>
      <c r="G119" s="129">
        <f t="shared" si="30"/>
        <v>0.97680659156928074</v>
      </c>
      <c r="H119" s="124">
        <f t="shared" si="31"/>
        <v>58.608395494156845</v>
      </c>
      <c r="J119" s="714"/>
      <c r="K119" s="230">
        <v>60</v>
      </c>
      <c r="L119" s="570">
        <v>57.904492323997701</v>
      </c>
      <c r="M119" s="312">
        <v>2.2626297986747002</v>
      </c>
      <c r="N119" s="569">
        <v>1.5899939510651659</v>
      </c>
      <c r="O119" s="196">
        <f t="shared" si="28"/>
        <v>551.43252313933294</v>
      </c>
      <c r="P119" s="309"/>
      <c r="Q119" s="672"/>
      <c r="R119" s="163">
        <v>60</v>
      </c>
      <c r="S119" s="407">
        <v>5.3261956483396072E-2</v>
      </c>
      <c r="T119" s="358">
        <v>9.9567079334235854E-3</v>
      </c>
      <c r="U119" s="358">
        <v>7.3380660145211363E-4</v>
      </c>
      <c r="V119" s="358">
        <v>6.8889968731074391E-2</v>
      </c>
      <c r="W119" s="358">
        <v>4.4725024810067862E-4</v>
      </c>
      <c r="X119" s="332">
        <v>1.4178947600692866</v>
      </c>
      <c r="Y119" s="169">
        <f t="shared" ref="Y119:Y124" si="32">IF(T$6&gt;240,"out of range",IF($T$6="","",((S119+T119*$T$6+U119*$T$6^2)/(1+V119*$T$6+W119*$T$6^2))^X119))</f>
        <v>0.30107110541382781</v>
      </c>
    </row>
    <row r="120" spans="1:25" ht="24" customHeight="1" thickBot="1" x14ac:dyDescent="0.3">
      <c r="A120" s="309"/>
      <c r="B120" s="703"/>
      <c r="C120" s="643" t="s">
        <v>64</v>
      </c>
      <c r="D120" s="649">
        <v>0.01</v>
      </c>
      <c r="E120" s="646">
        <v>1.2667703590924407E-9</v>
      </c>
      <c r="F120" s="647">
        <v>3.2627658161344453</v>
      </c>
      <c r="G120" s="348">
        <f t="shared" si="12"/>
        <v>0.95761332721601944</v>
      </c>
      <c r="H120" s="335">
        <f t="shared" si="13"/>
        <v>71.820999541201459</v>
      </c>
      <c r="J120" s="715"/>
      <c r="K120" s="633">
        <v>75</v>
      </c>
      <c r="L120" s="652">
        <v>304.57023921217728</v>
      </c>
      <c r="M120" s="653">
        <v>2.2626297986747002</v>
      </c>
      <c r="N120" s="651">
        <v>1.1507169569415512</v>
      </c>
      <c r="O120" s="240">
        <f t="shared" si="28"/>
        <v>395.38008693878209</v>
      </c>
      <c r="P120" s="309"/>
      <c r="Q120" s="673"/>
      <c r="R120" s="163" t="s">
        <v>64</v>
      </c>
      <c r="S120" s="407">
        <v>3.8360362407053275E-2</v>
      </c>
      <c r="T120" s="358">
        <v>1.000072209570233E-2</v>
      </c>
      <c r="U120" s="358">
        <v>1.4439624908545545E-4</v>
      </c>
      <c r="V120" s="358">
        <v>1.296382870016278E-2</v>
      </c>
      <c r="W120" s="358">
        <v>1.0153212980125215E-4</v>
      </c>
      <c r="X120" s="332">
        <v>1.3082011918356169</v>
      </c>
      <c r="Y120" s="169">
        <f t="shared" si="32"/>
        <v>0.3753901964898439</v>
      </c>
    </row>
    <row r="121" spans="1:25" ht="24" customHeight="1" thickBot="1" x14ac:dyDescent="0.3">
      <c r="A121" s="309"/>
      <c r="B121" s="704" t="s">
        <v>58</v>
      </c>
      <c r="C121" s="510">
        <v>26</v>
      </c>
      <c r="D121" s="455">
        <v>0.01</v>
      </c>
      <c r="E121" s="553">
        <v>6.9853479196721743E-11</v>
      </c>
      <c r="F121" s="456">
        <v>3.1278821247021384</v>
      </c>
      <c r="G121" s="345">
        <f t="shared" ref="G121:G123" si="33">IF(OR(0.01*(1/(D121+E121*(D$6^F121)))&lt;0.3,0.01*(1/(D121+E121*(D$6^F121)))&gt;1),"Under 30%",0.01*(1/(D121+E121*(D$6^F121))))</f>
        <v>0.99856205918943153</v>
      </c>
      <c r="H121" s="123">
        <f t="shared" ref="H121:H123" si="34">IF(G121="Under 30%","Out of Range",G121*C121)</f>
        <v>25.962613538925218</v>
      </c>
      <c r="J121" s="713" t="s">
        <v>48</v>
      </c>
      <c r="K121" s="632">
        <v>14</v>
      </c>
      <c r="L121" s="213">
        <v>50.87</v>
      </c>
      <c r="M121" s="207">
        <v>1.988</v>
      </c>
      <c r="N121" s="383">
        <v>1.44</v>
      </c>
      <c r="O121" s="204">
        <f t="shared" si="28"/>
        <v>459.05422445039858</v>
      </c>
      <c r="P121" s="309"/>
      <c r="Q121" s="671" t="s">
        <v>58</v>
      </c>
      <c r="R121" s="342">
        <v>26</v>
      </c>
      <c r="S121" s="356">
        <v>2.1779938705158514E-2</v>
      </c>
      <c r="T121" s="344">
        <v>1.0141857221539539E-2</v>
      </c>
      <c r="U121" s="344">
        <v>3.9775019247819283E-4</v>
      </c>
      <c r="V121" s="344">
        <v>7.5455907415853049E-2</v>
      </c>
      <c r="W121" s="178">
        <v>2.6458592525321634E-4</v>
      </c>
      <c r="X121" s="583">
        <v>1.6802344224001595</v>
      </c>
      <c r="Y121" s="155">
        <f t="shared" si="32"/>
        <v>0.11800199878087628</v>
      </c>
    </row>
    <row r="122" spans="1:25" ht="24" customHeight="1" x14ac:dyDescent="0.25">
      <c r="A122" s="309"/>
      <c r="B122" s="702"/>
      <c r="C122" s="561">
        <v>40</v>
      </c>
      <c r="D122" s="579">
        <v>0.01</v>
      </c>
      <c r="E122" s="438">
        <v>1.6871498895347213E-10</v>
      </c>
      <c r="F122" s="443">
        <v>3.1969080261652354</v>
      </c>
      <c r="G122" s="347">
        <f t="shared" si="33"/>
        <v>0.99546444680778168</v>
      </c>
      <c r="H122" s="262">
        <f t="shared" si="34"/>
        <v>39.818577872311266</v>
      </c>
      <c r="J122" s="714"/>
      <c r="K122" s="390">
        <v>26</v>
      </c>
      <c r="L122" s="389">
        <v>72.13</v>
      </c>
      <c r="M122" s="248">
        <v>1.988</v>
      </c>
      <c r="N122" s="206">
        <v>1.44</v>
      </c>
      <c r="O122" s="571">
        <f t="shared" si="28"/>
        <v>211.45447674557167</v>
      </c>
      <c r="P122" s="309"/>
      <c r="Q122" s="672"/>
      <c r="R122" s="346">
        <v>40</v>
      </c>
      <c r="S122" s="584">
        <v>9.2765613132033381E-2</v>
      </c>
      <c r="T122" s="174">
        <v>6.8035670672807694E-3</v>
      </c>
      <c r="U122" s="174">
        <v>1.5192145413250874E-4</v>
      </c>
      <c r="V122" s="174">
        <v>2.0606251119927366E-2</v>
      </c>
      <c r="W122" s="344">
        <v>1E-4</v>
      </c>
      <c r="X122" s="310">
        <v>1.596096200725629</v>
      </c>
      <c r="Y122" s="354">
        <f t="shared" si="32"/>
        <v>0.1927024170651625</v>
      </c>
    </row>
    <row r="123" spans="1:25" ht="24" customHeight="1" thickBot="1" x14ac:dyDescent="0.3">
      <c r="A123" s="309"/>
      <c r="B123" s="702"/>
      <c r="C123" s="508">
        <v>60</v>
      </c>
      <c r="D123" s="645">
        <v>0.01</v>
      </c>
      <c r="E123" s="438">
        <v>7.657255087805134E-11</v>
      </c>
      <c r="F123" s="440">
        <v>3.5270843492748853</v>
      </c>
      <c r="G123" s="129">
        <f t="shared" si="33"/>
        <v>0.99253159317932815</v>
      </c>
      <c r="H123" s="124">
        <f t="shared" si="34"/>
        <v>59.551895590759692</v>
      </c>
      <c r="J123" s="714"/>
      <c r="K123" s="246">
        <v>28</v>
      </c>
      <c r="L123" s="381">
        <v>72.13</v>
      </c>
      <c r="M123" s="210">
        <v>1.988</v>
      </c>
      <c r="N123" s="206">
        <v>1.44</v>
      </c>
      <c r="O123" s="189">
        <f t="shared" si="28"/>
        <v>219.76014715299263</v>
      </c>
      <c r="P123" s="309"/>
      <c r="Q123" s="672"/>
      <c r="R123" s="165">
        <v>60</v>
      </c>
      <c r="S123" s="179">
        <v>2.1832013404773511E-2</v>
      </c>
      <c r="T123" s="358">
        <v>0.01</v>
      </c>
      <c r="U123" s="358">
        <v>4.6678302955623817E-4</v>
      </c>
      <c r="V123" s="358">
        <v>4.7683831034401492E-2</v>
      </c>
      <c r="W123" s="176">
        <v>2.4798051344585871E-4</v>
      </c>
      <c r="X123" s="578">
        <v>1.3890010569386164</v>
      </c>
      <c r="Y123" s="169">
        <f t="shared" si="32"/>
        <v>0.30145066886306782</v>
      </c>
    </row>
    <row r="124" spans="1:25" ht="24" customHeight="1" thickBot="1" x14ac:dyDescent="0.3">
      <c r="A124" s="309"/>
      <c r="B124" s="703"/>
      <c r="C124" s="511">
        <v>75</v>
      </c>
      <c r="D124" s="644">
        <v>0.01</v>
      </c>
      <c r="E124" s="553">
        <v>3.6299015247801066E-10</v>
      </c>
      <c r="F124" s="647">
        <v>3.4190225827029095</v>
      </c>
      <c r="G124" s="348">
        <f t="shared" si="12"/>
        <v>0.97716096422394039</v>
      </c>
      <c r="H124" s="335">
        <f t="shared" si="13"/>
        <v>73.28707231679553</v>
      </c>
      <c r="J124" s="714"/>
      <c r="K124" s="390">
        <v>40</v>
      </c>
      <c r="L124" s="247">
        <v>72.13</v>
      </c>
      <c r="M124" s="209">
        <v>1.988</v>
      </c>
      <c r="N124" s="388">
        <v>1.44</v>
      </c>
      <c r="O124" s="236">
        <f t="shared" si="28"/>
        <v>231.04971906698086</v>
      </c>
      <c r="P124" s="309"/>
      <c r="Q124" s="673"/>
      <c r="R124" s="165">
        <v>75</v>
      </c>
      <c r="S124" s="179">
        <v>6.9360159278791342E-2</v>
      </c>
      <c r="T124" s="358">
        <v>0.01</v>
      </c>
      <c r="U124" s="358">
        <v>1.5236573661573394E-4</v>
      </c>
      <c r="V124" s="358">
        <v>1.2845526725454666E-2</v>
      </c>
      <c r="W124" s="176">
        <v>1E-4</v>
      </c>
      <c r="X124" s="578">
        <v>1.4250002567054996</v>
      </c>
      <c r="Y124" s="169">
        <f t="shared" si="32"/>
        <v>0.37474156014367505</v>
      </c>
    </row>
    <row r="125" spans="1:25" ht="24" customHeight="1" x14ac:dyDescent="0.25">
      <c r="B125" s="704" t="s">
        <v>48</v>
      </c>
      <c r="C125" s="512">
        <v>14</v>
      </c>
      <c r="D125" s="455">
        <v>0.01</v>
      </c>
      <c r="E125" s="453">
        <v>3.3674899999999997E-8</v>
      </c>
      <c r="F125" s="439">
        <v>2.117</v>
      </c>
      <c r="G125" s="345">
        <f t="shared" si="12"/>
        <v>0.98686937239085104</v>
      </c>
      <c r="H125" s="123">
        <f t="shared" si="13"/>
        <v>13.816171213471915</v>
      </c>
      <c r="J125" s="714"/>
      <c r="K125" s="390">
        <v>60</v>
      </c>
      <c r="L125" s="381">
        <v>72.13</v>
      </c>
      <c r="M125" s="209">
        <v>1.988</v>
      </c>
      <c r="N125" s="206">
        <v>1.44</v>
      </c>
      <c r="O125" s="221">
        <f t="shared" si="28"/>
        <v>1068.3254231857418</v>
      </c>
      <c r="Q125" s="671" t="s">
        <v>48</v>
      </c>
      <c r="R125" s="343">
        <v>14</v>
      </c>
      <c r="S125" s="131">
        <v>9.7871022566522414E-2</v>
      </c>
      <c r="T125" s="131">
        <v>1.944061220474241E-2</v>
      </c>
      <c r="U125" s="131">
        <v>3.4301915707118463E-4</v>
      </c>
      <c r="V125" s="131">
        <v>7.9632061560709691E-2</v>
      </c>
      <c r="W125" s="131">
        <v>3.4748966921055712E-4</v>
      </c>
      <c r="X125" s="132">
        <v>2.4186597427550001</v>
      </c>
      <c r="Y125" s="406">
        <f t="shared" si="22"/>
        <v>6.8191332155911943E-2</v>
      </c>
    </row>
    <row r="126" spans="1:25" ht="24" customHeight="1" thickBot="1" x14ac:dyDescent="0.3">
      <c r="B126" s="702"/>
      <c r="C126" s="590">
        <v>26</v>
      </c>
      <c r="D126" s="431">
        <v>0.01</v>
      </c>
      <c r="E126" s="420">
        <v>1.7361100000000001E-7</v>
      </c>
      <c r="F126" s="421">
        <v>2</v>
      </c>
      <c r="G126" s="347">
        <f t="shared" si="12"/>
        <v>0.95840268774449755</v>
      </c>
      <c r="H126" s="127">
        <f t="shared" si="13"/>
        <v>24.918469881356938</v>
      </c>
      <c r="J126" s="715"/>
      <c r="K126" s="243">
        <v>90</v>
      </c>
      <c r="L126" s="244">
        <v>72.13</v>
      </c>
      <c r="M126" s="245">
        <v>1.988</v>
      </c>
      <c r="N126" s="387">
        <v>1.44</v>
      </c>
      <c r="O126" s="189">
        <f t="shared" si="28"/>
        <v>1408.4954671140579</v>
      </c>
      <c r="Q126" s="672"/>
      <c r="R126" s="167">
        <v>26</v>
      </c>
      <c r="S126" s="135">
        <v>2.3476413466493026E-2</v>
      </c>
      <c r="T126" s="135">
        <v>0.01</v>
      </c>
      <c r="U126" s="135">
        <v>1.2349791394402685E-4</v>
      </c>
      <c r="V126" s="135">
        <v>2.9820377076590583E-2</v>
      </c>
      <c r="W126" s="135">
        <v>1.1033274217215252E-4</v>
      </c>
      <c r="X126" s="136">
        <v>1.7116827608223228</v>
      </c>
      <c r="Y126" s="152">
        <f t="shared" si="22"/>
        <v>0.12791890573902739</v>
      </c>
    </row>
    <row r="127" spans="1:25" ht="24" customHeight="1" x14ac:dyDescent="0.25">
      <c r="B127" s="702"/>
      <c r="C127" s="590">
        <v>28</v>
      </c>
      <c r="D127" s="431">
        <v>0.01</v>
      </c>
      <c r="E127" s="420">
        <v>3.0781099999999998E-7</v>
      </c>
      <c r="F127" s="421">
        <v>1.934334505</v>
      </c>
      <c r="G127" s="347">
        <f t="shared" si="12"/>
        <v>0.943823921545213</v>
      </c>
      <c r="H127" s="127">
        <f t="shared" si="13"/>
        <v>26.427069803265965</v>
      </c>
      <c r="J127" s="714" t="s">
        <v>49</v>
      </c>
      <c r="K127" s="241">
        <v>26</v>
      </c>
      <c r="L127" s="242">
        <v>64.489999999999995</v>
      </c>
      <c r="M127" s="238">
        <v>1.988</v>
      </c>
      <c r="N127" s="229">
        <v>1.46</v>
      </c>
      <c r="O127" s="189">
        <f t="shared" si="28"/>
        <v>1408.4954671140579</v>
      </c>
      <c r="Q127" s="672"/>
      <c r="R127" s="167">
        <v>28</v>
      </c>
      <c r="S127" s="135">
        <v>2.445064602551884E-2</v>
      </c>
      <c r="T127" s="135">
        <v>9.6673065541401319E-3</v>
      </c>
      <c r="U127" s="135">
        <v>4.4283964582748599E-4</v>
      </c>
      <c r="V127" s="135">
        <v>8.2325294909111529E-2</v>
      </c>
      <c r="W127" s="135">
        <v>4.0802509488074189E-4</v>
      </c>
      <c r="X127" s="136">
        <v>1.4889864682067304</v>
      </c>
      <c r="Y127" s="152">
        <f t="shared" si="22"/>
        <v>0.13700831882511666</v>
      </c>
    </row>
    <row r="128" spans="1:25" ht="24" customHeight="1" thickBot="1" x14ac:dyDescent="0.3">
      <c r="B128" s="702"/>
      <c r="C128" s="586">
        <v>40</v>
      </c>
      <c r="D128" s="457">
        <v>0.01</v>
      </c>
      <c r="E128" s="432">
        <v>7.6835499999999995E-7</v>
      </c>
      <c r="F128" s="458">
        <v>1.903626848</v>
      </c>
      <c r="G128" s="347">
        <f t="shared" si="12"/>
        <v>0.88358352488946612</v>
      </c>
      <c r="H128" s="127">
        <f t="shared" si="13"/>
        <v>35.343340995578643</v>
      </c>
      <c r="J128" s="714"/>
      <c r="K128" s="246">
        <v>40</v>
      </c>
      <c r="L128" s="247">
        <v>160.33000000000001</v>
      </c>
      <c r="M128" s="209">
        <v>1.988</v>
      </c>
      <c r="N128" s="206">
        <v>1.19</v>
      </c>
      <c r="O128" s="240">
        <f t="shared" si="28"/>
        <v>1408.4954671140579</v>
      </c>
      <c r="Q128" s="672"/>
      <c r="R128" s="342">
        <v>40</v>
      </c>
      <c r="S128" s="135">
        <v>2.3915311481972991E-2</v>
      </c>
      <c r="T128" s="135">
        <v>8.9571799173038709E-3</v>
      </c>
      <c r="U128" s="135">
        <v>4.9981591003886807E-4</v>
      </c>
      <c r="V128" s="135">
        <v>7.1335150199788588E-2</v>
      </c>
      <c r="W128" s="135">
        <v>4.6857910858734018E-4</v>
      </c>
      <c r="X128" s="136">
        <v>1.3683446193677853</v>
      </c>
      <c r="Y128" s="152">
        <f t="shared" si="22"/>
        <v>0.19251774279276862</v>
      </c>
    </row>
    <row r="129" spans="1:25" ht="24" customHeight="1" thickBot="1" x14ac:dyDescent="0.3">
      <c r="B129" s="702"/>
      <c r="C129" s="590">
        <v>60</v>
      </c>
      <c r="D129" s="459">
        <v>0.01</v>
      </c>
      <c r="E129" s="420">
        <v>2.1417199999999999E-6</v>
      </c>
      <c r="F129" s="429">
        <v>1.8552832459999999</v>
      </c>
      <c r="G129" s="347">
        <f t="shared" ref="G129:G138" si="35">IF(OR(0.01*(1/(D129+E129*(D$6^F129)))&lt;0.3,0.01*(1/(D129+E129*(D$6^F129)))&gt;1),"Under 30%",0.01*(1/(D129+E129*(D$6^F129))))</f>
        <v>0.76688775777323248</v>
      </c>
      <c r="H129" s="124">
        <f t="shared" ref="H129:H138" si="36">IF(G129="Under 30%","Out of Range",G129*C129)</f>
        <v>46.013265466393946</v>
      </c>
      <c r="J129" s="715"/>
      <c r="K129" s="239">
        <v>60</v>
      </c>
      <c r="L129" s="215">
        <v>176.51087494534966</v>
      </c>
      <c r="M129" s="245">
        <v>1.988</v>
      </c>
      <c r="N129" s="387">
        <v>1.2015462603210965</v>
      </c>
      <c r="O129" s="196">
        <f t="shared" si="28"/>
        <v>1603.7935690474139</v>
      </c>
      <c r="Q129" s="672"/>
      <c r="R129" s="346">
        <v>60</v>
      </c>
      <c r="S129" s="135">
        <v>2.5241483935366651E-2</v>
      </c>
      <c r="T129" s="135">
        <v>1.1308449745491484E-2</v>
      </c>
      <c r="U129" s="135">
        <v>1.6467217571734951E-4</v>
      </c>
      <c r="V129" s="135">
        <v>2.412050689199359E-2</v>
      </c>
      <c r="W129" s="135">
        <v>1.5891772545421285E-4</v>
      </c>
      <c r="X129" s="136">
        <v>1.3572752113660222</v>
      </c>
      <c r="Y129" s="152">
        <f t="shared" si="22"/>
        <v>0.27377585230777274</v>
      </c>
    </row>
    <row r="130" spans="1:25" ht="24" customHeight="1" thickBot="1" x14ac:dyDescent="0.3">
      <c r="B130" s="703"/>
      <c r="C130" s="588">
        <v>90</v>
      </c>
      <c r="D130" s="430">
        <v>0.01</v>
      </c>
      <c r="E130" s="423">
        <v>5.6173100000000003E-6</v>
      </c>
      <c r="F130" s="424">
        <v>1.7929545929999999</v>
      </c>
      <c r="G130" s="128">
        <f t="shared" si="35"/>
        <v>0.61548028561839385</v>
      </c>
      <c r="H130" s="262">
        <f t="shared" si="36"/>
        <v>55.393225705655446</v>
      </c>
      <c r="J130" s="713" t="s">
        <v>60</v>
      </c>
      <c r="K130" s="228">
        <v>26</v>
      </c>
      <c r="L130" s="316">
        <v>81.902986428547422</v>
      </c>
      <c r="M130" s="385">
        <v>1.6020000000000001</v>
      </c>
      <c r="N130" s="565">
        <v>1.0069585731940713</v>
      </c>
      <c r="O130" s="189">
        <f t="shared" si="28"/>
        <v>1603.7935690474139</v>
      </c>
      <c r="Q130" s="673"/>
      <c r="R130" s="165">
        <v>90</v>
      </c>
      <c r="S130" s="143">
        <v>1.1106290663476565E-2</v>
      </c>
      <c r="T130" s="143">
        <v>1.1845707643857395E-2</v>
      </c>
      <c r="U130" s="143">
        <v>5.0466784157623978E-4</v>
      </c>
      <c r="V130" s="139">
        <v>4.3203213139806088E-2</v>
      </c>
      <c r="W130" s="139">
        <v>4.7177354235531152E-4</v>
      </c>
      <c r="X130" s="140">
        <v>1.1590652106539236</v>
      </c>
      <c r="Y130" s="152">
        <f t="shared" si="22"/>
        <v>0.37575591519710222</v>
      </c>
    </row>
    <row r="131" spans="1:25" ht="24" customHeight="1" x14ac:dyDescent="0.25">
      <c r="B131" s="704" t="s">
        <v>49</v>
      </c>
      <c r="C131" s="591">
        <v>26</v>
      </c>
      <c r="D131" s="460">
        <v>0.01</v>
      </c>
      <c r="E131" s="417">
        <v>3.4443800000000003E-8</v>
      </c>
      <c r="F131" s="426">
        <v>2.2050000000000001</v>
      </c>
      <c r="G131" s="345">
        <f t="shared" si="35"/>
        <v>0.98116004875800433</v>
      </c>
      <c r="H131" s="123">
        <f t="shared" si="36"/>
        <v>25.510161267708114</v>
      </c>
      <c r="J131" s="714"/>
      <c r="K131" s="632">
        <v>40</v>
      </c>
      <c r="L131" s="570">
        <v>29.173125905322454</v>
      </c>
      <c r="M131" s="564">
        <v>1.6020000000000001</v>
      </c>
      <c r="N131" s="569">
        <v>1.2394829854389622</v>
      </c>
      <c r="O131" s="240">
        <f t="shared" si="28"/>
        <v>1603.7935690474139</v>
      </c>
      <c r="Q131" s="671" t="s">
        <v>49</v>
      </c>
      <c r="R131" s="166">
        <v>26</v>
      </c>
      <c r="S131" s="173">
        <v>5.7199831087061406E-2</v>
      </c>
      <c r="T131" s="153">
        <v>7.1899362916487642E-3</v>
      </c>
      <c r="U131" s="153">
        <v>1.5827357917712009E-4</v>
      </c>
      <c r="V131" s="131">
        <v>3.2434701671516325E-2</v>
      </c>
      <c r="W131" s="158">
        <v>1.2696791058034522E-4</v>
      </c>
      <c r="X131" s="371">
        <v>1.6101467410333348</v>
      </c>
      <c r="Y131" s="155">
        <f t="shared" si="22"/>
        <v>0.12612254778236642</v>
      </c>
    </row>
    <row r="132" spans="1:25" ht="24" customHeight="1" thickBot="1" x14ac:dyDescent="0.3">
      <c r="B132" s="702"/>
      <c r="C132" s="586">
        <v>40</v>
      </c>
      <c r="D132" s="457">
        <v>0.01</v>
      </c>
      <c r="E132" s="432">
        <v>2.4999999999999999E-7</v>
      </c>
      <c r="F132" s="458">
        <v>2</v>
      </c>
      <c r="G132" s="347">
        <f t="shared" si="35"/>
        <v>0.94117647058823528</v>
      </c>
      <c r="H132" s="127">
        <f t="shared" si="36"/>
        <v>37.647058823529413</v>
      </c>
      <c r="J132" s="715"/>
      <c r="K132" s="231">
        <v>60</v>
      </c>
      <c r="L132" s="408">
        <v>16.603905230909394</v>
      </c>
      <c r="M132" s="566">
        <v>1.6020000000000001</v>
      </c>
      <c r="N132" s="568">
        <v>1.3727475994397051</v>
      </c>
      <c r="O132" s="220">
        <f t="shared" si="28"/>
        <v>1603.7935690474139</v>
      </c>
      <c r="Q132" s="672"/>
      <c r="R132" s="342">
        <v>40</v>
      </c>
      <c r="S132" s="323">
        <v>5.1322494635568393E-2</v>
      </c>
      <c r="T132" s="170">
        <v>9.086309252779182E-3</v>
      </c>
      <c r="U132" s="135">
        <v>1.6744850573441748E-4</v>
      </c>
      <c r="V132" s="170">
        <v>2.7087450092292908E-2</v>
      </c>
      <c r="W132" s="143">
        <v>1.3007042908254907E-4</v>
      </c>
      <c r="X132" s="136">
        <v>1.5350911103014566</v>
      </c>
      <c r="Y132" s="145">
        <f t="shared" si="22"/>
        <v>0.19515367973712397</v>
      </c>
    </row>
    <row r="133" spans="1:25" ht="24" customHeight="1" thickBot="1" x14ac:dyDescent="0.3">
      <c r="B133" s="702"/>
      <c r="C133" s="588">
        <v>60</v>
      </c>
      <c r="D133" s="430">
        <v>0.01</v>
      </c>
      <c r="E133" s="423">
        <v>3.7168367201306052E-6</v>
      </c>
      <c r="F133" s="424">
        <v>1.6644005005428471</v>
      </c>
      <c r="G133" s="128">
        <f t="shared" si="35"/>
        <v>0.80000000000000016</v>
      </c>
      <c r="H133" s="125">
        <f t="shared" si="36"/>
        <v>48.000000000000007</v>
      </c>
      <c r="J133" s="713" t="s">
        <v>56</v>
      </c>
      <c r="K133" s="249">
        <v>26</v>
      </c>
      <c r="L133" s="247">
        <v>167.38</v>
      </c>
      <c r="M133" s="207">
        <v>2.0150000000000001</v>
      </c>
      <c r="N133" s="208">
        <v>1.41</v>
      </c>
      <c r="O133" s="221">
        <f t="shared" si="28"/>
        <v>439.02346941527594</v>
      </c>
      <c r="Q133" s="672"/>
      <c r="R133" s="165">
        <v>60</v>
      </c>
      <c r="S133" s="146">
        <v>1.9861582363793505E-2</v>
      </c>
      <c r="T133" s="139">
        <v>1.1317571498944199E-2</v>
      </c>
      <c r="U133" s="147">
        <v>3.7758929198592985E-4</v>
      </c>
      <c r="V133" s="139">
        <v>4.6743343796848004E-2</v>
      </c>
      <c r="W133" s="139">
        <v>3.0010387645798369E-4</v>
      </c>
      <c r="X133" s="321">
        <v>1.3088471341060042</v>
      </c>
      <c r="Y133" s="354">
        <f t="shared" si="22"/>
        <v>0.27626876214795038</v>
      </c>
    </row>
    <row r="134" spans="1:25" ht="24" customHeight="1" thickBot="1" x14ac:dyDescent="0.3">
      <c r="B134" s="704" t="s">
        <v>60</v>
      </c>
      <c r="C134" s="592">
        <v>26</v>
      </c>
      <c r="D134" s="581">
        <v>0.01</v>
      </c>
      <c r="E134" s="582">
        <v>3.4443808411203399E-8</v>
      </c>
      <c r="F134" s="418">
        <v>2.2053376776478877</v>
      </c>
      <c r="G134" s="345">
        <f t="shared" si="35"/>
        <v>0.98113560996571514</v>
      </c>
      <c r="H134" s="123">
        <f t="shared" si="36"/>
        <v>25.509525859108592</v>
      </c>
      <c r="J134" s="714"/>
      <c r="K134" s="241">
        <v>33</v>
      </c>
      <c r="L134" s="389">
        <v>167.4</v>
      </c>
      <c r="M134" s="209">
        <v>2.0150000000000001</v>
      </c>
      <c r="N134" s="206">
        <v>1.47</v>
      </c>
      <c r="O134" s="204">
        <f t="shared" si="28"/>
        <v>733.26883953682443</v>
      </c>
      <c r="Q134" s="671" t="s">
        <v>60</v>
      </c>
      <c r="R134" s="343">
        <v>26</v>
      </c>
      <c r="S134" s="173">
        <v>1.9166234009568881E-2</v>
      </c>
      <c r="T134" s="324">
        <v>1.222689075971801E-2</v>
      </c>
      <c r="U134" s="153">
        <v>3.3480510928890082E-4</v>
      </c>
      <c r="V134" s="170">
        <v>6.5937104606248714E-2</v>
      </c>
      <c r="W134" s="324">
        <v>2.6816647326827702E-4</v>
      </c>
      <c r="X134" s="154">
        <v>1.690278057297157</v>
      </c>
      <c r="Y134" s="585">
        <f t="shared" si="22"/>
        <v>0.12733339131545426</v>
      </c>
    </row>
    <row r="135" spans="1:25" ht="24" customHeight="1" x14ac:dyDescent="0.25">
      <c r="B135" s="702"/>
      <c r="C135" s="587">
        <v>40</v>
      </c>
      <c r="D135" s="431">
        <v>0.01</v>
      </c>
      <c r="E135" s="420">
        <v>1.3950384810549186E-6</v>
      </c>
      <c r="F135" s="426">
        <v>1.7095112913514547</v>
      </c>
      <c r="G135" s="129">
        <f t="shared" si="35"/>
        <v>0.89932716361149623</v>
      </c>
      <c r="H135" s="127">
        <f t="shared" si="36"/>
        <v>35.973086544459846</v>
      </c>
      <c r="J135" s="714"/>
      <c r="K135" s="246">
        <v>40</v>
      </c>
      <c r="L135" s="381">
        <v>167.4</v>
      </c>
      <c r="M135" s="248">
        <v>2.0150000000000001</v>
      </c>
      <c r="N135" s="388">
        <v>1.47</v>
      </c>
      <c r="O135" s="196">
        <f t="shared" si="28"/>
        <v>478.69672270905448</v>
      </c>
      <c r="Q135" s="672"/>
      <c r="R135" s="342">
        <v>40</v>
      </c>
      <c r="S135" s="580">
        <v>2.0076607487398826E-2</v>
      </c>
      <c r="T135" s="135">
        <v>1.1175843381843374E-2</v>
      </c>
      <c r="U135" s="131">
        <v>3.5499457000458782E-4</v>
      </c>
      <c r="V135" s="135">
        <v>5.7421468860452164E-2</v>
      </c>
      <c r="W135" s="135">
        <v>2.8199406066471976E-4</v>
      </c>
      <c r="X135" s="321">
        <v>1.446328691704633</v>
      </c>
      <c r="Y135" s="145">
        <f t="shared" si="22"/>
        <v>0.19281844826192132</v>
      </c>
    </row>
    <row r="136" spans="1:25" ht="24" customHeight="1" thickBot="1" x14ac:dyDescent="0.3">
      <c r="A136" s="309"/>
      <c r="B136" s="703"/>
      <c r="C136" s="588">
        <v>60</v>
      </c>
      <c r="D136" s="457">
        <v>0.01</v>
      </c>
      <c r="E136" s="432">
        <v>3.7168367201306052E-6</v>
      </c>
      <c r="F136" s="458">
        <v>1.6644005005428471</v>
      </c>
      <c r="G136" s="348">
        <f t="shared" si="35"/>
        <v>0.80000000000000016</v>
      </c>
      <c r="H136" s="125">
        <f t="shared" si="36"/>
        <v>48.000000000000007</v>
      </c>
      <c r="J136" s="714"/>
      <c r="K136" s="239">
        <v>60</v>
      </c>
      <c r="L136" s="215">
        <v>167.4</v>
      </c>
      <c r="M136" s="216">
        <v>2.0150000000000001</v>
      </c>
      <c r="N136" s="217">
        <v>1.47</v>
      </c>
      <c r="O136" s="225">
        <f t="shared" si="28"/>
        <v>478.69672270905448</v>
      </c>
      <c r="P136" s="309"/>
      <c r="Q136" s="673"/>
      <c r="R136" s="346">
        <v>60</v>
      </c>
      <c r="S136" s="146">
        <v>1.9861582363793505E-2</v>
      </c>
      <c r="T136" s="170">
        <v>1.1317571498944199E-2</v>
      </c>
      <c r="U136" s="139">
        <v>3.7758929198592985E-4</v>
      </c>
      <c r="V136" s="143">
        <v>4.6743343796848004E-2</v>
      </c>
      <c r="W136" s="143">
        <v>3.0010387645798369E-4</v>
      </c>
      <c r="X136" s="144">
        <v>1.3088471341060042</v>
      </c>
      <c r="Y136" s="354">
        <f t="shared" si="22"/>
        <v>0.27626876214795038</v>
      </c>
    </row>
    <row r="137" spans="1:25" ht="24" customHeight="1" thickBot="1" x14ac:dyDescent="0.3">
      <c r="A137" s="309"/>
      <c r="B137" s="704" t="s">
        <v>56</v>
      </c>
      <c r="C137" s="589">
        <v>26</v>
      </c>
      <c r="D137" s="444">
        <v>0.01</v>
      </c>
      <c r="E137" s="445">
        <v>5.5367200000000003E-9</v>
      </c>
      <c r="F137" s="418">
        <v>2.3415114780000001</v>
      </c>
      <c r="G137" s="345">
        <f t="shared" si="35"/>
        <v>0.99476243166395839</v>
      </c>
      <c r="H137" s="262">
        <f t="shared" si="36"/>
        <v>25.863823223262919</v>
      </c>
      <c r="J137" s="713" t="s">
        <v>57</v>
      </c>
      <c r="K137" s="241">
        <v>26</v>
      </c>
      <c r="L137" s="242">
        <v>171.06</v>
      </c>
      <c r="M137" s="238">
        <v>2.3879999999999999</v>
      </c>
      <c r="N137" s="229">
        <v>1.68</v>
      </c>
      <c r="O137" s="597">
        <f t="shared" si="28"/>
        <v>478.69672270905448</v>
      </c>
      <c r="P137" s="309"/>
      <c r="Q137" s="671" t="s">
        <v>56</v>
      </c>
      <c r="R137" s="343">
        <v>26</v>
      </c>
      <c r="S137" s="131">
        <v>5.8985415720021021E-2</v>
      </c>
      <c r="T137" s="153">
        <v>8.2337705404971224E-3</v>
      </c>
      <c r="U137" s="131">
        <v>1.7057955696982811E-4</v>
      </c>
      <c r="V137" s="153">
        <v>3.8563794638345271E-2</v>
      </c>
      <c r="W137" s="153">
        <v>1.0424755920088694E-4</v>
      </c>
      <c r="X137" s="154">
        <v>1.6517898105971438</v>
      </c>
      <c r="Y137" s="155">
        <f t="shared" si="22"/>
        <v>0.12309287471237637</v>
      </c>
    </row>
    <row r="138" spans="1:25" ht="24" customHeight="1" thickBot="1" x14ac:dyDescent="0.3">
      <c r="A138" s="309"/>
      <c r="B138" s="702"/>
      <c r="C138" s="593">
        <v>33</v>
      </c>
      <c r="D138" s="430">
        <v>0.01</v>
      </c>
      <c r="E138" s="434">
        <v>3.2586299999999999E-9</v>
      </c>
      <c r="F138" s="424">
        <v>2.582510235</v>
      </c>
      <c r="G138" s="128">
        <f t="shared" si="35"/>
        <v>0.9921077412555066</v>
      </c>
      <c r="H138" s="125">
        <f t="shared" si="36"/>
        <v>32.739555461431721</v>
      </c>
      <c r="J138" s="714"/>
      <c r="K138" s="390">
        <v>33</v>
      </c>
      <c r="L138" s="242">
        <v>171.06</v>
      </c>
      <c r="M138" s="238">
        <v>2.3879999999999999</v>
      </c>
      <c r="N138" s="229">
        <v>1.68</v>
      </c>
      <c r="O138" s="551"/>
      <c r="P138" s="309"/>
      <c r="Q138" s="672"/>
      <c r="R138" s="346">
        <v>33</v>
      </c>
      <c r="S138" s="135">
        <v>0.15147861396062839</v>
      </c>
      <c r="T138" s="135">
        <v>1.6074286748051361E-2</v>
      </c>
      <c r="U138" s="135">
        <v>3.4246420382220283E-4</v>
      </c>
      <c r="V138" s="135">
        <v>5.0228013169359813E-2</v>
      </c>
      <c r="W138" s="135">
        <v>2.544221646453995E-4</v>
      </c>
      <c r="X138" s="136">
        <v>2.2188084522907654</v>
      </c>
      <c r="Y138" s="133">
        <f t="shared" si="22"/>
        <v>0.15911833466182135</v>
      </c>
    </row>
    <row r="139" spans="1:25" ht="24" customHeight="1" thickBot="1" x14ac:dyDescent="0.3">
      <c r="A139" s="309"/>
      <c r="B139" s="702"/>
      <c r="C139" s="716" t="s">
        <v>53</v>
      </c>
      <c r="D139" s="717"/>
      <c r="E139" s="717"/>
      <c r="F139" s="717"/>
      <c r="G139" s="717"/>
      <c r="H139" s="718"/>
      <c r="J139" s="714"/>
      <c r="K139" s="390">
        <v>40</v>
      </c>
      <c r="L139" s="242">
        <v>171.06</v>
      </c>
      <c r="M139" s="238">
        <v>2.3879999999999999</v>
      </c>
      <c r="N139" s="229">
        <v>1.68</v>
      </c>
      <c r="O139" s="552"/>
      <c r="P139" s="309"/>
      <c r="Q139" s="672"/>
      <c r="R139" s="699" t="s">
        <v>53</v>
      </c>
      <c r="S139" s="700"/>
      <c r="T139" s="700"/>
      <c r="U139" s="700"/>
      <c r="V139" s="700"/>
      <c r="W139" s="700"/>
      <c r="X139" s="700"/>
      <c r="Y139" s="701"/>
    </row>
    <row r="140" spans="1:25" ht="24" customHeight="1" thickBot="1" x14ac:dyDescent="0.35">
      <c r="A140" s="309"/>
      <c r="B140" s="702"/>
      <c r="C140" s="512">
        <v>33</v>
      </c>
      <c r="D140" s="444">
        <v>0.01</v>
      </c>
      <c r="E140" s="445">
        <v>2.2076300000000002E-9</v>
      </c>
      <c r="F140" s="458">
        <v>2.5633835280000001</v>
      </c>
      <c r="G140" s="347">
        <f>IF(OR(0.01*(1/(D140+E140*(D$6^F140)))&lt;0.3,0.01*(1/(D140+E140*(D$6^F140)))&gt;1),"Under 30%",0.01*(1/(D140+E140*(D$6^F140))))</f>
        <v>0.99502410037915157</v>
      </c>
      <c r="H140" s="123">
        <f>IF(G140="Under 30%","Out of Range",G140*C140)</f>
        <v>32.835795312512005</v>
      </c>
      <c r="J140" s="715"/>
      <c r="K140" s="243">
        <v>60</v>
      </c>
      <c r="L140" s="244">
        <v>171.06</v>
      </c>
      <c r="M140" s="245">
        <v>2.3879999999999999</v>
      </c>
      <c r="N140" s="387">
        <v>1.68</v>
      </c>
      <c r="O140" s="9"/>
      <c r="P140" s="309"/>
      <c r="Q140" s="672"/>
      <c r="R140" s="166">
        <v>33</v>
      </c>
      <c r="S140" s="135">
        <v>0.14634912106211886</v>
      </c>
      <c r="T140" s="135">
        <v>1.7084068567654001E-2</v>
      </c>
      <c r="U140" s="135">
        <v>3.2554165731459988E-4</v>
      </c>
      <c r="V140" s="135">
        <v>5.5692684075567864E-2</v>
      </c>
      <c r="W140" s="135">
        <v>2.4021925078020336E-4</v>
      </c>
      <c r="X140" s="136">
        <v>2.2766290446379971</v>
      </c>
      <c r="Y140" s="152">
        <f t="shared" si="22"/>
        <v>0.13411428899330483</v>
      </c>
    </row>
    <row r="141" spans="1:25" ht="24" customHeight="1" x14ac:dyDescent="0.3">
      <c r="A141" s="309"/>
      <c r="B141" s="702"/>
      <c r="C141" s="510">
        <v>40</v>
      </c>
      <c r="D141" s="457">
        <v>0.01</v>
      </c>
      <c r="E141" s="432">
        <v>1.8485099999999999E-8</v>
      </c>
      <c r="F141" s="421">
        <v>2.3740035509999999</v>
      </c>
      <c r="G141" s="347">
        <f>IF(OR(0.01*(1/(D141+E141*(D$6^F141)))&lt;0.3,0.01*(1/(D141+E141*(D$6^F141)))&gt;1),"Under 30%",0.01*(1/(D141+E141*(D$6^F141))))</f>
        <v>0.98042962916488541</v>
      </c>
      <c r="H141" s="262">
        <f>IF(G141="Under 30%","Out of Range",G141*C141)</f>
        <v>39.217185166595414</v>
      </c>
      <c r="J141" s="713" t="s">
        <v>50</v>
      </c>
      <c r="K141" s="249">
        <v>26</v>
      </c>
      <c r="L141" s="213">
        <v>725.25</v>
      </c>
      <c r="M141" s="207">
        <v>2.218</v>
      </c>
      <c r="N141" s="208">
        <v>1</v>
      </c>
      <c r="O141" s="10"/>
      <c r="P141" s="309"/>
      <c r="Q141" s="672"/>
      <c r="R141" s="342">
        <v>40</v>
      </c>
      <c r="S141" s="135">
        <v>0.14306669063491509</v>
      </c>
      <c r="T141" s="135">
        <v>1.7143923997746679E-2</v>
      </c>
      <c r="U141" s="135">
        <v>3.7076756857139671E-4</v>
      </c>
      <c r="V141" s="135">
        <v>4.7876482979328609E-2</v>
      </c>
      <c r="W141" s="135">
        <v>2.7779423391082391E-4</v>
      </c>
      <c r="X141" s="136">
        <v>2.1713856622312742</v>
      </c>
      <c r="Y141" s="352">
        <f t="shared" si="22"/>
        <v>0.19533479939478271</v>
      </c>
    </row>
    <row r="142" spans="1:25" ht="24" customHeight="1" thickBot="1" x14ac:dyDescent="0.3">
      <c r="A142" s="309"/>
      <c r="B142" s="702"/>
      <c r="C142" s="506">
        <v>60</v>
      </c>
      <c r="D142" s="430">
        <v>0.01</v>
      </c>
      <c r="E142" s="423">
        <v>4.8581200000000001E-8</v>
      </c>
      <c r="F142" s="424">
        <v>2.382270208</v>
      </c>
      <c r="G142" s="128">
        <f>IF(OR(0.01*(1/(D142+E142*(D$6^F142)))&lt;0.3,0.01*(1/(D142+E142*(D$6^F142)))&gt;1),"Under 30%",0.01*(1/(D142+E142*(D$6^F142))))</f>
        <v>0.94860068876836667</v>
      </c>
      <c r="H142" s="125">
        <f>IF(G142="Under 30%","Out of Range",G142*C142)</f>
        <v>56.916041326102004</v>
      </c>
      <c r="J142" s="715"/>
      <c r="K142" s="239">
        <v>60</v>
      </c>
      <c r="L142" s="389">
        <v>579.78</v>
      </c>
      <c r="M142" s="216">
        <v>2.218</v>
      </c>
      <c r="N142" s="217">
        <v>1.1599999999999999</v>
      </c>
      <c r="O142" s="12"/>
      <c r="P142" s="309"/>
      <c r="Q142" s="673"/>
      <c r="R142" s="165">
        <v>60</v>
      </c>
      <c r="S142" s="146">
        <v>5.7385877921865121E-2</v>
      </c>
      <c r="T142" s="143">
        <v>9.9952316807021234E-3</v>
      </c>
      <c r="U142" s="139">
        <v>2.0541236493704424E-4</v>
      </c>
      <c r="V142" s="143">
        <v>2.2719288701446235E-2</v>
      </c>
      <c r="W142" s="139">
        <v>1.3684662885259848E-4</v>
      </c>
      <c r="X142" s="140">
        <v>1.4515231717473589</v>
      </c>
      <c r="Y142" s="169">
        <f t="shared" si="22"/>
        <v>0.29578966202989915</v>
      </c>
    </row>
    <row r="143" spans="1:25" ht="24" customHeight="1" thickBot="1" x14ac:dyDescent="0.3">
      <c r="A143" s="309"/>
      <c r="B143" s="704" t="s">
        <v>57</v>
      </c>
      <c r="C143" s="512">
        <v>26</v>
      </c>
      <c r="D143" s="444">
        <v>0.01</v>
      </c>
      <c r="E143" s="432">
        <v>5.5143399999999998E-9</v>
      </c>
      <c r="F143" s="458">
        <v>2.3188499999999999</v>
      </c>
      <c r="G143" s="555">
        <f>IF(OR(0.01*(1/(D143+E143*(D$6^F143)))&lt;0.3,0.01*(1/(D143+E143*(D$6^F143)))&gt;1),"Under 30%",0.01*(1/(D143+E143*(D$6^F143))))</f>
        <v>0.99522392714034413</v>
      </c>
      <c r="H143" s="123">
        <f>IF(G143="Under 30%","Out of Range",G143*C143)</f>
        <v>25.875822105648947</v>
      </c>
      <c r="J143" s="713" t="s">
        <v>61</v>
      </c>
      <c r="K143" s="246">
        <v>26</v>
      </c>
      <c r="L143" s="612">
        <v>137.53490526729857</v>
      </c>
      <c r="M143" s="207">
        <v>2.2626297986747002</v>
      </c>
      <c r="N143" s="208">
        <v>1.402138660109205</v>
      </c>
      <c r="O143" s="16"/>
      <c r="P143" s="309"/>
      <c r="Q143" s="672" t="s">
        <v>57</v>
      </c>
      <c r="R143" s="166">
        <v>26</v>
      </c>
      <c r="S143" s="131">
        <v>0.1475392162894911</v>
      </c>
      <c r="T143" s="153">
        <v>1.6089433213745018E-2</v>
      </c>
      <c r="U143" s="131">
        <v>2.9427122299578441E-4</v>
      </c>
      <c r="V143" s="153">
        <v>5.9536735919553767E-2</v>
      </c>
      <c r="W143" s="131">
        <v>1.9789573797317553E-4</v>
      </c>
      <c r="X143" s="132">
        <v>2.1317526628030623</v>
      </c>
      <c r="Y143" s="353">
        <f t="shared" si="22"/>
        <v>0.12528815233657797</v>
      </c>
    </row>
    <row r="144" spans="1:25" ht="24" customHeight="1" thickBot="1" x14ac:dyDescent="0.3">
      <c r="A144" s="309"/>
      <c r="B144" s="702"/>
      <c r="C144" s="511">
        <v>33</v>
      </c>
      <c r="D144" s="436">
        <v>0.01</v>
      </c>
      <c r="E144" s="423">
        <v>2.76489E-9</v>
      </c>
      <c r="F144" s="424">
        <v>2.5543662999999999</v>
      </c>
      <c r="G144" s="347">
        <f>IF(OR(0.01*(1/(D144+E144*(D$6^F144)))&lt;0.3,0.01*(1/(D144+E144*(D$6^F144)))&gt;1),"Under 30%",0.01*(1/(D144+E144*(D$6^F144))))</f>
        <v>0.993990314649151</v>
      </c>
      <c r="H144" s="335">
        <f>IF(G144="Under 30%","Out of Range",G144*C144)</f>
        <v>32.801680383421981</v>
      </c>
      <c r="J144" s="714"/>
      <c r="K144" s="390">
        <v>40</v>
      </c>
      <c r="L144" s="381">
        <v>137.53490526729857</v>
      </c>
      <c r="M144" s="613">
        <v>2.2626297986747002</v>
      </c>
      <c r="N144" s="229">
        <v>1.402138660109205</v>
      </c>
      <c r="P144" s="309"/>
      <c r="Q144" s="672"/>
      <c r="R144" s="342">
        <v>33</v>
      </c>
      <c r="S144" s="135">
        <v>0.15079845178640033</v>
      </c>
      <c r="T144" s="135">
        <v>1.5575604489357122E-2</v>
      </c>
      <c r="U144" s="135">
        <v>3.0852384979229719E-4</v>
      </c>
      <c r="V144" s="135">
        <v>4.855862810757279E-2</v>
      </c>
      <c r="W144" s="135">
        <v>2.1466093807224874E-4</v>
      </c>
      <c r="X144" s="136">
        <v>2.1764198103384138</v>
      </c>
      <c r="Y144" s="148">
        <f t="shared" si="22"/>
        <v>0.15853248524363961</v>
      </c>
    </row>
    <row r="145" spans="1:25" ht="24" customHeight="1" thickBot="1" x14ac:dyDescent="0.3">
      <c r="A145" s="309"/>
      <c r="B145" s="702"/>
      <c r="C145" s="719" t="s">
        <v>53</v>
      </c>
      <c r="D145" s="720"/>
      <c r="E145" s="720"/>
      <c r="F145" s="720"/>
      <c r="G145" s="720"/>
      <c r="H145" s="721"/>
      <c r="J145" s="715"/>
      <c r="K145" s="243">
        <v>60</v>
      </c>
      <c r="L145" s="558">
        <v>137.53490526729857</v>
      </c>
      <c r="M145" s="598">
        <v>2.2626297986747002</v>
      </c>
      <c r="N145" s="387">
        <v>1.402138660109205</v>
      </c>
      <c r="P145" s="309"/>
      <c r="Q145" s="672"/>
      <c r="R145" s="699" t="s">
        <v>53</v>
      </c>
      <c r="S145" s="700"/>
      <c r="T145" s="700"/>
      <c r="U145" s="700"/>
      <c r="V145" s="700"/>
      <c r="W145" s="700"/>
      <c r="X145" s="700"/>
      <c r="Y145" s="701"/>
    </row>
    <row r="146" spans="1:25" ht="24" customHeight="1" thickBot="1" x14ac:dyDescent="0.3">
      <c r="A146" s="309"/>
      <c r="B146" s="702"/>
      <c r="C146" s="507">
        <v>33</v>
      </c>
      <c r="D146" s="460">
        <v>0.01</v>
      </c>
      <c r="E146" s="417">
        <v>1.03082E-9</v>
      </c>
      <c r="F146" s="426">
        <v>2.6530849490000001</v>
      </c>
      <c r="G146" s="345">
        <f>IF(OR(0.01*(1/(D146+E146*(D$6^F146)))&lt;0.3,0.01*(1/(D146+E146*(D$6^F146)))&gt;1),"Under 30%",0.01*(1/(D146+E146*(D$6^F146))))</f>
        <v>0.99669435219272506</v>
      </c>
      <c r="H146" s="262">
        <f>IF(G146="Under 30%","Out of Range",G146*C146)</f>
        <v>32.890913622359925</v>
      </c>
      <c r="J146" s="305"/>
      <c r="K146" s="306"/>
      <c r="L146" s="599"/>
      <c r="M146" s="308"/>
      <c r="N146" s="307"/>
      <c r="P146" s="309"/>
      <c r="Q146" s="672"/>
      <c r="R146" s="166">
        <v>33</v>
      </c>
      <c r="S146" s="135">
        <v>0.15045045790055103</v>
      </c>
      <c r="T146" s="135">
        <v>1.5462716288188075E-2</v>
      </c>
      <c r="U146" s="135">
        <v>3.0358512184161204E-4</v>
      </c>
      <c r="V146" s="135">
        <v>5.3819763273138928E-2</v>
      </c>
      <c r="W146" s="135">
        <v>2.1260287916381233E-4</v>
      </c>
      <c r="X146" s="136">
        <v>2.1874996392434571</v>
      </c>
      <c r="Y146" s="354">
        <f t="shared" si="22"/>
        <v>0.13362016172471933</v>
      </c>
    </row>
    <row r="147" spans="1:25" ht="24" customHeight="1" thickBot="1" x14ac:dyDescent="0.3">
      <c r="A147" s="309"/>
      <c r="B147" s="702"/>
      <c r="C147" s="510">
        <v>40</v>
      </c>
      <c r="D147" s="457">
        <v>0.01</v>
      </c>
      <c r="E147" s="420">
        <v>2.9467899999999999E-9</v>
      </c>
      <c r="F147" s="458">
        <v>2.6287690000000001</v>
      </c>
      <c r="G147" s="129">
        <f t="shared" ref="G147:G153" si="37">IF(OR(0.01*(1/(D147+E147*(D$6^F147)))&lt;0.3,0.01*(1/(D147+E147*(D$6^F147)))&gt;1),"Under 30%",0.01*(1/(D147+E147*(D$6^F147))))</f>
        <v>0.99145285767856095</v>
      </c>
      <c r="H147" s="124">
        <f t="shared" ref="H147:H153" si="38">IF(G147="Under 30%","Out of Range",G147*C147)</f>
        <v>39.658114307142441</v>
      </c>
      <c r="J147" s="8"/>
      <c r="K147" s="722" t="s">
        <v>11</v>
      </c>
      <c r="L147" s="723"/>
      <c r="M147" s="723"/>
      <c r="N147" s="724"/>
      <c r="P147" s="309"/>
      <c r="Q147" s="672"/>
      <c r="R147" s="342">
        <v>40</v>
      </c>
      <c r="S147" s="135">
        <v>0.15626765301294873</v>
      </c>
      <c r="T147" s="135">
        <v>1.5078543151955327E-2</v>
      </c>
      <c r="U147" s="135">
        <v>3.2336722698858729E-4</v>
      </c>
      <c r="V147" s="135">
        <v>4.3119464951216359E-2</v>
      </c>
      <c r="W147" s="135">
        <v>2.2337453975428863E-4</v>
      </c>
      <c r="X147" s="136">
        <v>2.1325922354066851</v>
      </c>
      <c r="Y147" s="145">
        <f t="shared" si="22"/>
        <v>0.19328420324607737</v>
      </c>
    </row>
    <row r="148" spans="1:25" ht="15.95" customHeight="1" thickBot="1" x14ac:dyDescent="0.35">
      <c r="A148" s="309"/>
      <c r="B148" s="703"/>
      <c r="C148" s="506">
        <v>60</v>
      </c>
      <c r="D148" s="430">
        <v>0.01</v>
      </c>
      <c r="E148" s="434">
        <v>3.3245999999999999E-9</v>
      </c>
      <c r="F148" s="424">
        <v>2.802314</v>
      </c>
      <c r="G148" s="348">
        <f t="shared" si="37"/>
        <v>0.98118357563674818</v>
      </c>
      <c r="H148" s="125">
        <f t="shared" si="38"/>
        <v>58.871014538204889</v>
      </c>
      <c r="J148" s="8"/>
      <c r="K148" s="729" t="s">
        <v>12</v>
      </c>
      <c r="L148" s="731"/>
      <c r="M148" s="729" t="s">
        <v>13</v>
      </c>
      <c r="N148" s="730"/>
      <c r="P148" s="309"/>
      <c r="Q148" s="673"/>
      <c r="R148" s="165">
        <v>60</v>
      </c>
      <c r="S148" s="135">
        <v>0.15657550499005987</v>
      </c>
      <c r="T148" s="135">
        <v>1.5317737947962071E-2</v>
      </c>
      <c r="U148" s="135">
        <v>3.4475346334778906E-4</v>
      </c>
      <c r="V148" s="135">
        <v>3.3485105668386285E-2</v>
      </c>
      <c r="W148" s="135">
        <v>2.3364222097925521E-4</v>
      </c>
      <c r="X148" s="140">
        <v>2.0232901648521198</v>
      </c>
      <c r="Y148" s="141">
        <f t="shared" si="22"/>
        <v>0.29571201641669398</v>
      </c>
    </row>
    <row r="149" spans="1:25" ht="15.95" customHeight="1" thickBot="1" x14ac:dyDescent="0.35">
      <c r="A149" s="309"/>
      <c r="B149" s="704" t="s">
        <v>50</v>
      </c>
      <c r="C149" s="512">
        <v>26</v>
      </c>
      <c r="D149" s="444">
        <v>0.01</v>
      </c>
      <c r="E149" s="445">
        <v>5.0169741313393017E-10</v>
      </c>
      <c r="F149" s="418">
        <v>2.8358467240887597</v>
      </c>
      <c r="G149" s="345">
        <f t="shared" si="37"/>
        <v>0.9967112584386244</v>
      </c>
      <c r="H149" s="127">
        <f t="shared" si="38"/>
        <v>25.914492719404233</v>
      </c>
      <c r="J149" s="8"/>
      <c r="K149" s="725">
        <f>IF(M149="","Input Guass Value on right",M149*0.0001)</f>
        <v>1</v>
      </c>
      <c r="L149" s="726"/>
      <c r="M149" s="727">
        <v>10000</v>
      </c>
      <c r="N149" s="728"/>
      <c r="P149" s="309"/>
      <c r="Q149" s="671" t="s">
        <v>50</v>
      </c>
      <c r="R149" s="343">
        <v>26</v>
      </c>
      <c r="S149" s="173">
        <v>2.8085168197242275E-2</v>
      </c>
      <c r="T149" s="153">
        <v>0.01</v>
      </c>
      <c r="U149" s="324">
        <v>2.060811024281652E-4</v>
      </c>
      <c r="V149" s="324">
        <v>4.2371482135475466E-2</v>
      </c>
      <c r="W149" s="324">
        <v>1.4438966244851678E-4</v>
      </c>
      <c r="X149" s="361">
        <v>1.7375673068358142</v>
      </c>
      <c r="Y149" s="353">
        <f t="shared" si="22"/>
        <v>0.12332356674578121</v>
      </c>
    </row>
    <row r="150" spans="1:25" ht="15.95" customHeight="1" thickBot="1" x14ac:dyDescent="0.3">
      <c r="B150" s="703"/>
      <c r="C150" s="511">
        <v>60</v>
      </c>
      <c r="D150" s="436">
        <v>0.01</v>
      </c>
      <c r="E150" s="434">
        <v>1.65958240068482E-8</v>
      </c>
      <c r="F150" s="435">
        <v>2.536474841750882</v>
      </c>
      <c r="G150" s="128">
        <f t="shared" si="37"/>
        <v>0.96727034942990431</v>
      </c>
      <c r="H150" s="125">
        <f t="shared" si="38"/>
        <v>58.036220965794257</v>
      </c>
      <c r="J150" s="11"/>
      <c r="K150" s="7"/>
      <c r="L150" s="7"/>
      <c r="M150" s="7"/>
      <c r="N150" s="7"/>
      <c r="Q150" s="673"/>
      <c r="R150" s="165">
        <v>60</v>
      </c>
      <c r="S150" s="146">
        <v>2.8757017900832384E-2</v>
      </c>
      <c r="T150" s="170">
        <v>1.000045027243375E-2</v>
      </c>
      <c r="U150" s="139">
        <v>2.4475815109303476E-4</v>
      </c>
      <c r="V150" s="139">
        <v>2.775364832934114E-2</v>
      </c>
      <c r="W150" s="143">
        <v>1.4205928484295002E-4</v>
      </c>
      <c r="X150" s="140">
        <v>1.3786764944733712</v>
      </c>
      <c r="Y150" s="169">
        <f>IF(T$6&gt;240,"out of range",IF($T$6="","",((S150+T150*$T$6+U150*$T$6^2)/(1+V150*$T$6+W150*$T$6^2))^X150))</f>
        <v>0.29831363514255044</v>
      </c>
    </row>
    <row r="151" spans="1:25" ht="15.95" customHeight="1" thickBot="1" x14ac:dyDescent="0.3">
      <c r="B151" s="704" t="s">
        <v>61</v>
      </c>
      <c r="C151" s="510">
        <v>26</v>
      </c>
      <c r="D151" s="457">
        <v>0.01</v>
      </c>
      <c r="E151" s="432">
        <v>2.1294039232811707E-10</v>
      </c>
      <c r="F151" s="614">
        <v>2.8710557614221508</v>
      </c>
      <c r="G151" s="555">
        <f t="shared" si="37"/>
        <v>0.99839528397261679</v>
      </c>
      <c r="H151" s="240">
        <f t="shared" si="38"/>
        <v>25.958277383288035</v>
      </c>
      <c r="J151" s="13"/>
      <c r="K151" s="14"/>
      <c r="L151" s="14"/>
      <c r="M151" s="14"/>
      <c r="N151" s="15"/>
      <c r="Q151" s="671" t="s">
        <v>61</v>
      </c>
      <c r="R151" s="342">
        <v>26</v>
      </c>
      <c r="S151" s="323">
        <v>2.7208697292856906E-2</v>
      </c>
      <c r="T151" s="153">
        <v>1.0850770223393095E-2</v>
      </c>
      <c r="U151" s="170">
        <v>2.0848439578642497E-4</v>
      </c>
      <c r="V151" s="170">
        <v>4.5440418736104701E-2</v>
      </c>
      <c r="W151" s="153">
        <v>1.29606913436758E-4</v>
      </c>
      <c r="X151" s="321">
        <v>1.7748135612067071</v>
      </c>
      <c r="Y151" s="406">
        <f>IF(T$6&gt;240,"out of range",IF($T$6="","",((S151+T151*$T$6+U151*$T$6^2)/(1+V151*$T$6+W151*$T$6^2))^X151))</f>
        <v>0.12039760368342799</v>
      </c>
    </row>
    <row r="152" spans="1:25" ht="15.95" customHeight="1" x14ac:dyDescent="0.25">
      <c r="B152" s="702"/>
      <c r="C152" s="508">
        <v>40</v>
      </c>
      <c r="D152" s="615">
        <v>0.01</v>
      </c>
      <c r="E152" s="420">
        <v>4.9215425036642123E-13</v>
      </c>
      <c r="F152" s="421">
        <v>4.1612410939623325</v>
      </c>
      <c r="G152" s="129">
        <f t="shared" si="37"/>
        <v>0.99942233761165</v>
      </c>
      <c r="H152" s="124">
        <f t="shared" si="38"/>
        <v>39.976893504465998</v>
      </c>
      <c r="Q152" s="672"/>
      <c r="R152" s="167">
        <v>40</v>
      </c>
      <c r="S152" s="355">
        <v>8.3603899181040178E-2</v>
      </c>
      <c r="T152" s="135">
        <v>5.8901672529749205E-3</v>
      </c>
      <c r="U152" s="135">
        <v>1.7762958271925314E-4</v>
      </c>
      <c r="V152" s="135">
        <v>2.4683890487472753E-2</v>
      </c>
      <c r="W152" s="135">
        <v>1.0000404827340676E-4</v>
      </c>
      <c r="X152" s="136">
        <v>1.501139887061036</v>
      </c>
      <c r="Y152" s="145">
        <f>IF(T$6&gt;240,"out of range",IF($T$6="","",((S152+T152*$T$6+U152*$T$6^2)/(1+V152*$T$6+W152*$T$6^2))^X152))</f>
        <v>0.19016335975026791</v>
      </c>
    </row>
    <row r="153" spans="1:25" ht="15.95" customHeight="1" thickBot="1" x14ac:dyDescent="0.3">
      <c r="B153" s="703"/>
      <c r="C153" s="506">
        <v>60</v>
      </c>
      <c r="D153" s="602">
        <v>0.01</v>
      </c>
      <c r="E153" s="423">
        <v>6.5388215634642877E-10</v>
      </c>
      <c r="F153" s="601">
        <v>3.0671238682359068</v>
      </c>
      <c r="G153" s="128">
        <f t="shared" si="37"/>
        <v>0.98948378109378998</v>
      </c>
      <c r="H153" s="220">
        <f t="shared" si="38"/>
        <v>59.369026865627397</v>
      </c>
      <c r="Q153" s="673"/>
      <c r="R153" s="341">
        <v>60</v>
      </c>
      <c r="S153" s="146">
        <v>8.0643551317917048E-2</v>
      </c>
      <c r="T153" s="139">
        <v>7.7443637505687848E-3</v>
      </c>
      <c r="U153" s="139">
        <v>2.7348896583150072E-4</v>
      </c>
      <c r="V153" s="139">
        <v>2.6744419916711407E-2</v>
      </c>
      <c r="W153" s="147">
        <v>1.4832838865162245E-4</v>
      </c>
      <c r="X153" s="603">
        <v>1.428811125441088</v>
      </c>
      <c r="Y153" s="141">
        <f>IF(T$6&gt;240,"out of range",IF($T$6="","",((S153+T153*$T$6+U153*$T$6^2)/(1+V153*$T$6+W153*$T$6^2))^X153))</f>
        <v>0.29471152126754196</v>
      </c>
    </row>
    <row r="154" spans="1:25" ht="15.95" customHeight="1" thickBot="1" x14ac:dyDescent="0.3">
      <c r="B154" s="491"/>
      <c r="C154" s="513"/>
      <c r="D154" s="514"/>
      <c r="E154" s="515"/>
      <c r="F154" s="515"/>
      <c r="G154" s="516"/>
      <c r="H154" s="517"/>
      <c r="Q154" s="53"/>
      <c r="R154" s="17"/>
      <c r="S154" s="74"/>
      <c r="T154" s="74"/>
      <c r="U154" s="74"/>
      <c r="V154" s="71"/>
      <c r="W154" s="74"/>
      <c r="X154" s="74"/>
      <c r="Y154" s="72"/>
    </row>
    <row r="155" spans="1:25" ht="15.95" customHeight="1" thickBot="1" x14ac:dyDescent="0.3">
      <c r="B155" s="491"/>
      <c r="C155" s="686" t="s">
        <v>11</v>
      </c>
      <c r="D155" s="687"/>
      <c r="E155" s="687"/>
      <c r="F155" s="687"/>
      <c r="G155" s="688"/>
      <c r="H155" s="518"/>
      <c r="Q155" s="60"/>
      <c r="R155" s="674" t="s">
        <v>11</v>
      </c>
      <c r="S155" s="675"/>
      <c r="T155" s="675"/>
      <c r="U155" s="675"/>
      <c r="V155" s="675"/>
      <c r="W155" s="675"/>
      <c r="X155" s="676"/>
      <c r="Y155" s="72"/>
    </row>
    <row r="156" spans="1:25" ht="15.95" customHeight="1" thickBot="1" x14ac:dyDescent="0.3">
      <c r="B156" s="491"/>
      <c r="C156" s="689" t="s">
        <v>19</v>
      </c>
      <c r="D156" s="690"/>
      <c r="E156" s="691"/>
      <c r="F156" s="692" t="s">
        <v>18</v>
      </c>
      <c r="G156" s="693"/>
      <c r="H156" s="518"/>
      <c r="Q156" s="19"/>
      <c r="R156" s="677" t="s">
        <v>16</v>
      </c>
      <c r="S156" s="678"/>
      <c r="T156" s="678"/>
      <c r="U156" s="679"/>
      <c r="V156" s="678" t="s">
        <v>18</v>
      </c>
      <c r="W156" s="678"/>
      <c r="X156" s="679"/>
      <c r="Y156" s="72"/>
    </row>
    <row r="157" spans="1:25" ht="15.95" customHeight="1" thickBot="1" x14ac:dyDescent="0.35">
      <c r="B157" s="491"/>
      <c r="C157" s="694">
        <f>IF(F157="","Input an AT/cm Value on right:",ROUND(F157*0.4*PI(),4))</f>
        <v>1.2565999999999999</v>
      </c>
      <c r="D157" s="695"/>
      <c r="E157" s="696"/>
      <c r="F157" s="697">
        <v>1</v>
      </c>
      <c r="G157" s="698"/>
      <c r="H157" s="518"/>
      <c r="Q157" s="19"/>
      <c r="R157" s="680">
        <f>IF(V157="","Input an AT/cm Value on right:",ROUND(V157*0.4*PI(),4))</f>
        <v>1.2565999999999999</v>
      </c>
      <c r="S157" s="681"/>
      <c r="T157" s="681"/>
      <c r="U157" s="682"/>
      <c r="V157" s="683">
        <v>1</v>
      </c>
      <c r="W157" s="684"/>
      <c r="X157" s="685"/>
      <c r="Y157" s="72"/>
    </row>
    <row r="158" spans="1:25" ht="15.95" customHeight="1" x14ac:dyDescent="0.25">
      <c r="B158" s="491"/>
      <c r="C158" s="491"/>
      <c r="D158" s="491"/>
      <c r="E158" s="491"/>
      <c r="F158" s="491"/>
      <c r="G158" s="491"/>
      <c r="H158" s="518"/>
      <c r="Q158" s="17"/>
      <c r="R158" s="18"/>
      <c r="S158" s="73"/>
      <c r="T158" s="73"/>
      <c r="U158" s="73"/>
      <c r="V158" s="71"/>
      <c r="W158" s="71"/>
      <c r="X158" s="71"/>
      <c r="Y158" s="72"/>
    </row>
    <row r="159" spans="1:25" ht="15.95" customHeight="1" thickBot="1" x14ac:dyDescent="0.3">
      <c r="B159" s="639"/>
      <c r="C159" s="492"/>
      <c r="D159" s="492"/>
      <c r="E159" s="492"/>
      <c r="F159" s="492"/>
      <c r="G159" s="492"/>
      <c r="H159" s="519"/>
      <c r="Q159" s="121"/>
      <c r="R159" s="20"/>
      <c r="S159" s="74"/>
      <c r="T159" s="74"/>
      <c r="U159" s="74"/>
      <c r="V159" s="74"/>
      <c r="W159" s="74"/>
      <c r="X159" s="74"/>
      <c r="Y159" s="75"/>
    </row>
    <row r="160" spans="1:25" ht="15.95" customHeight="1" x14ac:dyDescent="0.25">
      <c r="Q160" s="2"/>
    </row>
    <row r="161" spans="2:25" ht="15.95" customHeight="1" x14ac:dyDescent="0.25">
      <c r="C161" s="1"/>
      <c r="D161" s="61"/>
      <c r="E161" s="49"/>
      <c r="F161" s="49"/>
      <c r="G161" s="52"/>
      <c r="H161" s="30"/>
      <c r="Q161" s="59"/>
    </row>
    <row r="162" spans="2:25" ht="15.95" customHeight="1" x14ac:dyDescent="0.35">
      <c r="B162" s="83"/>
      <c r="C162" s="83"/>
      <c r="D162" s="106"/>
      <c r="E162" s="106"/>
      <c r="F162" s="106"/>
      <c r="G162" s="83"/>
      <c r="H162" s="83"/>
      <c r="Q162" s="47"/>
      <c r="R162" s="47"/>
      <c r="S162" s="98"/>
      <c r="T162" s="106"/>
      <c r="U162" s="106"/>
      <c r="V162" s="106"/>
      <c r="W162" s="99"/>
      <c r="X162" s="98"/>
      <c r="Y162" s="98"/>
    </row>
    <row r="163" spans="2:25" ht="15.95" customHeight="1" x14ac:dyDescent="0.3">
      <c r="B163" s="48"/>
      <c r="C163" s="29"/>
      <c r="D163" s="29"/>
      <c r="E163" s="29"/>
      <c r="F163" s="29"/>
      <c r="G163" s="29"/>
      <c r="H163" s="29"/>
      <c r="Q163" s="29"/>
      <c r="R163" s="29"/>
      <c r="S163" s="96"/>
      <c r="T163" s="96"/>
      <c r="U163" s="96"/>
      <c r="V163" s="96"/>
      <c r="W163" s="96"/>
      <c r="X163" s="96"/>
      <c r="Y163" s="96"/>
    </row>
    <row r="164" spans="2:25" ht="15.95" customHeight="1" x14ac:dyDescent="0.3">
      <c r="B164" s="29"/>
      <c r="C164" s="29"/>
      <c r="D164" s="29"/>
      <c r="E164" s="29"/>
      <c r="F164" s="29"/>
      <c r="G164" s="29"/>
      <c r="H164" s="29"/>
      <c r="Q164" s="48"/>
      <c r="R164" s="29"/>
      <c r="S164" s="96"/>
      <c r="T164" s="96"/>
      <c r="U164" s="96"/>
      <c r="V164" s="96"/>
      <c r="W164" s="96"/>
      <c r="X164" s="96"/>
      <c r="Y164" s="96"/>
    </row>
    <row r="165" spans="2:25" ht="15.95" customHeight="1" x14ac:dyDescent="0.3">
      <c r="B165" s="105"/>
      <c r="C165" s="105"/>
      <c r="D165" s="105"/>
      <c r="E165" s="105"/>
      <c r="F165" s="105"/>
      <c r="G165" s="105"/>
      <c r="H165" s="105"/>
      <c r="Q165" s="48"/>
      <c r="R165" s="48"/>
      <c r="S165" s="48"/>
      <c r="T165" s="48"/>
      <c r="U165" s="48"/>
      <c r="V165" s="48"/>
      <c r="W165" s="48"/>
      <c r="X165" s="48"/>
      <c r="Y165" s="48"/>
    </row>
    <row r="166" spans="2:25" ht="15.95" customHeight="1" x14ac:dyDescent="0.3">
      <c r="B166" s="84"/>
      <c r="C166" s="84"/>
      <c r="D166" s="84"/>
      <c r="E166" s="84"/>
      <c r="F166" s="84"/>
      <c r="G166" s="84"/>
      <c r="H166" s="84"/>
      <c r="Q166" s="29"/>
      <c r="R166" s="31"/>
      <c r="S166" s="97"/>
      <c r="T166" s="107"/>
      <c r="U166" s="107"/>
      <c r="V166" s="107"/>
      <c r="W166" s="97"/>
      <c r="X166" s="97"/>
      <c r="Y166" s="97"/>
    </row>
    <row r="167" spans="2:25" ht="15.95" customHeight="1" x14ac:dyDescent="0.3">
      <c r="B167" s="84"/>
      <c r="C167" s="84"/>
      <c r="D167" s="84"/>
      <c r="E167" s="84"/>
      <c r="F167" s="84"/>
      <c r="G167" s="84"/>
      <c r="H167" s="84"/>
      <c r="Q167" s="29"/>
      <c r="R167" s="29"/>
      <c r="S167" s="96"/>
      <c r="T167" s="96"/>
      <c r="U167" s="96"/>
      <c r="V167" s="96"/>
      <c r="W167" s="96"/>
      <c r="X167" s="96"/>
      <c r="Y167" s="96"/>
    </row>
    <row r="168" spans="2:25" ht="15.95" customHeight="1" x14ac:dyDescent="0.25">
      <c r="B168" s="78"/>
      <c r="C168" s="77"/>
      <c r="D168" s="78"/>
      <c r="E168" s="78"/>
      <c r="F168" s="78"/>
      <c r="G168" s="78"/>
      <c r="H168" s="78"/>
      <c r="Q168" s="78"/>
      <c r="R168" s="77"/>
      <c r="S168" s="78"/>
      <c r="T168" s="78"/>
      <c r="U168" s="78"/>
      <c r="V168" s="78"/>
      <c r="W168" s="78"/>
      <c r="X168" s="78"/>
      <c r="Y168" s="78"/>
    </row>
    <row r="169" spans="2:25" ht="15.95" customHeight="1" x14ac:dyDescent="0.25">
      <c r="B169" s="104"/>
      <c r="C169" s="87"/>
      <c r="D169" s="63"/>
      <c r="E169" s="85"/>
      <c r="F169" s="86"/>
      <c r="G169" s="81"/>
      <c r="H169" s="82"/>
      <c r="Q169" s="104"/>
      <c r="R169" s="87"/>
      <c r="S169" s="92"/>
      <c r="T169" s="92"/>
      <c r="U169" s="92"/>
      <c r="V169" s="92"/>
      <c r="W169" s="92"/>
      <c r="X169" s="93"/>
      <c r="Y169" s="100"/>
    </row>
    <row r="170" spans="2:25" ht="15.95" customHeight="1" x14ac:dyDescent="0.25">
      <c r="B170" s="104"/>
      <c r="C170" s="87"/>
      <c r="D170" s="63"/>
      <c r="E170" s="85"/>
      <c r="F170" s="86"/>
      <c r="G170" s="81"/>
      <c r="H170" s="82"/>
      <c r="Q170" s="104"/>
      <c r="R170" s="87"/>
      <c r="S170" s="92"/>
      <c r="T170" s="92"/>
      <c r="U170" s="92"/>
      <c r="V170" s="92"/>
      <c r="W170" s="92"/>
      <c r="X170" s="93"/>
      <c r="Y170" s="100"/>
    </row>
    <row r="171" spans="2:25" ht="15.95" customHeight="1" x14ac:dyDescent="0.25">
      <c r="B171" s="104"/>
      <c r="C171" s="87"/>
      <c r="D171" s="63"/>
      <c r="E171" s="85"/>
      <c r="F171" s="86"/>
      <c r="G171" s="81"/>
      <c r="H171" s="82"/>
      <c r="Q171" s="104"/>
      <c r="R171" s="87"/>
      <c r="S171" s="92"/>
      <c r="T171" s="92"/>
      <c r="U171" s="92"/>
      <c r="V171" s="92"/>
      <c r="W171" s="92"/>
      <c r="X171" s="93"/>
      <c r="Y171" s="100"/>
    </row>
    <row r="172" spans="2:25" ht="15.95" customHeight="1" x14ac:dyDescent="0.25">
      <c r="B172" s="104"/>
      <c r="C172" s="87"/>
      <c r="D172" s="63"/>
      <c r="E172" s="85"/>
      <c r="F172" s="86"/>
      <c r="G172" s="81"/>
      <c r="H172" s="82"/>
      <c r="Q172" s="104"/>
      <c r="R172" s="87"/>
      <c r="S172" s="92"/>
      <c r="T172" s="92"/>
      <c r="U172" s="92"/>
      <c r="V172" s="92"/>
      <c r="W172" s="92"/>
      <c r="X172" s="93"/>
      <c r="Y172" s="100"/>
    </row>
    <row r="173" spans="2:25" ht="15.95" customHeight="1" x14ac:dyDescent="0.25">
      <c r="B173" s="104"/>
      <c r="C173" s="87"/>
      <c r="D173" s="63"/>
      <c r="E173" s="85"/>
      <c r="F173" s="86"/>
      <c r="G173" s="81"/>
      <c r="H173" s="82"/>
      <c r="Q173" s="104"/>
      <c r="R173" s="87"/>
      <c r="S173" s="92"/>
      <c r="T173" s="92"/>
      <c r="U173" s="92"/>
      <c r="V173" s="92"/>
      <c r="W173" s="92"/>
      <c r="X173" s="93"/>
      <c r="Y173" s="100"/>
    </row>
    <row r="174" spans="2:25" ht="15.95" customHeight="1" x14ac:dyDescent="0.25">
      <c r="B174" s="104"/>
      <c r="C174" s="87"/>
      <c r="D174" s="63"/>
      <c r="E174" s="85"/>
      <c r="F174" s="86"/>
      <c r="G174" s="81"/>
      <c r="H174" s="82"/>
      <c r="Q174" s="104"/>
      <c r="R174" s="87"/>
      <c r="S174" s="92"/>
      <c r="T174" s="92"/>
      <c r="U174" s="92"/>
      <c r="V174" s="92"/>
      <c r="W174" s="92"/>
      <c r="X174" s="93"/>
      <c r="Y174" s="100"/>
    </row>
    <row r="175" spans="2:25" ht="15.95" customHeight="1" x14ac:dyDescent="0.25">
      <c r="B175" s="104"/>
      <c r="C175" s="87"/>
      <c r="D175" s="63"/>
      <c r="E175" s="85"/>
      <c r="F175" s="86"/>
      <c r="G175" s="81"/>
      <c r="H175" s="82"/>
      <c r="Q175" s="104"/>
      <c r="R175" s="87"/>
      <c r="S175" s="92"/>
      <c r="T175" s="92"/>
      <c r="U175" s="92"/>
      <c r="V175" s="92"/>
      <c r="W175" s="92"/>
      <c r="X175" s="93"/>
      <c r="Y175" s="100"/>
    </row>
    <row r="176" spans="2:25" ht="15.95" customHeight="1" x14ac:dyDescent="0.25">
      <c r="B176" s="108"/>
      <c r="C176" s="87"/>
      <c r="D176" s="63"/>
      <c r="E176" s="85"/>
      <c r="F176" s="86"/>
      <c r="G176" s="81"/>
      <c r="H176" s="82"/>
      <c r="Q176" s="108"/>
      <c r="R176" s="87"/>
      <c r="S176" s="92"/>
      <c r="T176" s="92"/>
      <c r="U176" s="92"/>
      <c r="V176" s="92"/>
      <c r="W176" s="92"/>
      <c r="X176" s="93"/>
      <c r="Y176" s="100"/>
    </row>
    <row r="177" spans="2:25" ht="15.95" customHeight="1" x14ac:dyDescent="0.25">
      <c r="B177" s="108"/>
      <c r="C177" s="87"/>
      <c r="D177" s="63"/>
      <c r="E177" s="85"/>
      <c r="F177" s="86"/>
      <c r="G177" s="81"/>
      <c r="H177" s="82"/>
      <c r="Q177" s="108"/>
      <c r="R177" s="87"/>
      <c r="S177" s="92"/>
      <c r="T177" s="92"/>
      <c r="U177" s="92"/>
      <c r="V177" s="92"/>
      <c r="W177" s="92"/>
      <c r="X177" s="93"/>
      <c r="Y177" s="100"/>
    </row>
    <row r="178" spans="2:25" ht="15.95" customHeight="1" x14ac:dyDescent="0.25">
      <c r="B178" s="108"/>
      <c r="C178" s="87"/>
      <c r="D178" s="63"/>
      <c r="E178" s="85"/>
      <c r="F178" s="86"/>
      <c r="G178" s="81"/>
      <c r="H178" s="82"/>
      <c r="Q178" s="108"/>
      <c r="R178" s="87"/>
      <c r="S178" s="92"/>
      <c r="T178" s="92"/>
      <c r="U178" s="92"/>
      <c r="V178" s="92"/>
      <c r="W178" s="92"/>
      <c r="X178" s="93"/>
      <c r="Y178" s="100"/>
    </row>
    <row r="179" spans="2:25" ht="15.95" customHeight="1" x14ac:dyDescent="0.25">
      <c r="B179" s="108"/>
      <c r="C179" s="87"/>
      <c r="D179" s="63"/>
      <c r="E179" s="85"/>
      <c r="F179" s="86"/>
      <c r="G179" s="81"/>
      <c r="H179" s="82"/>
      <c r="Q179" s="108"/>
      <c r="R179" s="87"/>
      <c r="S179" s="92"/>
      <c r="T179" s="92"/>
      <c r="U179" s="92"/>
      <c r="V179" s="92"/>
      <c r="W179" s="92"/>
      <c r="X179" s="93"/>
      <c r="Y179" s="100"/>
    </row>
    <row r="180" spans="2:25" ht="15.95" customHeight="1" x14ac:dyDescent="0.25">
      <c r="B180" s="108"/>
      <c r="C180" s="87"/>
      <c r="D180" s="63"/>
      <c r="E180" s="85"/>
      <c r="F180" s="86"/>
      <c r="G180" s="81"/>
      <c r="H180" s="82"/>
      <c r="Q180" s="108"/>
      <c r="R180" s="87"/>
      <c r="S180" s="92"/>
      <c r="T180" s="92"/>
      <c r="U180" s="92"/>
      <c r="V180" s="92"/>
      <c r="W180" s="92"/>
      <c r="X180" s="93"/>
      <c r="Y180" s="100"/>
    </row>
    <row r="181" spans="2:25" ht="15.95" customHeight="1" x14ac:dyDescent="0.25">
      <c r="B181" s="108"/>
      <c r="C181" s="87"/>
      <c r="D181" s="63"/>
      <c r="E181" s="85"/>
      <c r="F181" s="86"/>
      <c r="G181" s="81"/>
      <c r="H181" s="82"/>
      <c r="Q181" s="108"/>
      <c r="R181" s="87"/>
      <c r="S181" s="92"/>
      <c r="T181" s="92"/>
      <c r="U181" s="92"/>
      <c r="V181" s="92"/>
      <c r="W181" s="92"/>
      <c r="X181" s="93"/>
      <c r="Y181" s="100"/>
    </row>
    <row r="182" spans="2:25" ht="15.95" customHeight="1" x14ac:dyDescent="0.25">
      <c r="B182" s="104"/>
      <c r="C182" s="87"/>
      <c r="D182" s="63"/>
      <c r="E182" s="85"/>
      <c r="F182" s="86"/>
      <c r="G182" s="81"/>
      <c r="H182" s="82"/>
      <c r="Q182" s="104"/>
      <c r="R182" s="87"/>
      <c r="S182" s="92"/>
      <c r="T182" s="92"/>
      <c r="U182" s="92"/>
      <c r="V182" s="92"/>
      <c r="W182" s="92"/>
      <c r="X182" s="93"/>
      <c r="Y182" s="100"/>
    </row>
    <row r="183" spans="2:25" ht="15.95" customHeight="1" x14ac:dyDescent="0.25">
      <c r="B183" s="104"/>
      <c r="C183" s="87"/>
      <c r="D183" s="63"/>
      <c r="E183" s="85"/>
      <c r="F183" s="86"/>
      <c r="G183" s="81"/>
      <c r="H183" s="82"/>
      <c r="Q183" s="104"/>
      <c r="R183" s="87"/>
      <c r="S183" s="92"/>
      <c r="T183" s="92"/>
      <c r="U183" s="92"/>
      <c r="V183" s="92"/>
      <c r="W183" s="92"/>
      <c r="X183" s="93"/>
      <c r="Y183" s="100"/>
    </row>
    <row r="184" spans="2:25" ht="15.95" customHeight="1" x14ac:dyDescent="0.25">
      <c r="B184" s="104"/>
      <c r="C184" s="87"/>
      <c r="D184" s="63"/>
      <c r="E184" s="85"/>
      <c r="F184" s="86"/>
      <c r="G184" s="81"/>
      <c r="H184" s="82"/>
      <c r="Q184" s="104"/>
      <c r="R184" s="87"/>
      <c r="S184" s="92"/>
      <c r="T184" s="92"/>
      <c r="U184" s="92"/>
      <c r="V184" s="92"/>
      <c r="W184" s="92"/>
      <c r="X184" s="93"/>
      <c r="Y184" s="100"/>
    </row>
    <row r="185" spans="2:25" ht="15.95" customHeight="1" x14ac:dyDescent="0.25">
      <c r="B185" s="104"/>
      <c r="C185" s="87"/>
      <c r="D185" s="63"/>
      <c r="E185" s="85"/>
      <c r="F185" s="86"/>
      <c r="G185" s="81"/>
      <c r="H185" s="82"/>
      <c r="Q185" s="104"/>
      <c r="R185" s="87"/>
      <c r="S185" s="92"/>
      <c r="T185" s="92"/>
      <c r="U185" s="92"/>
      <c r="V185" s="92"/>
      <c r="W185" s="92"/>
      <c r="X185" s="93"/>
      <c r="Y185" s="100"/>
    </row>
    <row r="186" spans="2:25" ht="15.95" customHeight="1" x14ac:dyDescent="0.25">
      <c r="B186" s="104"/>
      <c r="C186" s="87"/>
      <c r="D186" s="63"/>
      <c r="E186" s="85"/>
      <c r="F186" s="86"/>
      <c r="G186" s="81"/>
      <c r="H186" s="82"/>
      <c r="Q186" s="104"/>
      <c r="R186" s="87"/>
      <c r="S186" s="92"/>
      <c r="T186" s="92"/>
      <c r="U186" s="92"/>
      <c r="V186" s="92"/>
      <c r="W186" s="92"/>
      <c r="X186" s="93"/>
      <c r="Y186" s="100"/>
    </row>
    <row r="187" spans="2:25" ht="15.95" customHeight="1" x14ac:dyDescent="0.25">
      <c r="B187" s="104"/>
      <c r="C187" s="87"/>
      <c r="D187" s="63"/>
      <c r="E187" s="85"/>
      <c r="F187" s="86"/>
      <c r="G187" s="81"/>
      <c r="H187" s="82"/>
      <c r="Q187" s="104"/>
      <c r="R187" s="87"/>
      <c r="S187" s="92"/>
      <c r="T187" s="92"/>
      <c r="U187" s="92"/>
      <c r="V187" s="92"/>
      <c r="W187" s="92"/>
      <c r="X187" s="93"/>
      <c r="Y187" s="100"/>
    </row>
    <row r="188" spans="2:25" ht="15.95" customHeight="1" x14ac:dyDescent="0.25">
      <c r="B188" s="108"/>
      <c r="C188" s="87"/>
      <c r="D188" s="63"/>
      <c r="E188" s="85"/>
      <c r="F188" s="86"/>
      <c r="G188" s="81"/>
      <c r="H188" s="82"/>
      <c r="Q188" s="108"/>
      <c r="R188" s="87"/>
      <c r="S188" s="92"/>
      <c r="T188" s="92"/>
      <c r="U188" s="92"/>
      <c r="V188" s="92"/>
      <c r="W188" s="92"/>
      <c r="X188" s="93"/>
      <c r="Y188" s="100"/>
    </row>
    <row r="189" spans="2:25" ht="15.95" customHeight="1" x14ac:dyDescent="0.25">
      <c r="B189" s="108"/>
      <c r="C189" s="87"/>
      <c r="D189" s="63"/>
      <c r="E189" s="85"/>
      <c r="F189" s="86"/>
      <c r="G189" s="81"/>
      <c r="H189" s="82"/>
      <c r="Q189" s="108"/>
      <c r="R189" s="87"/>
      <c r="S189" s="92"/>
      <c r="T189" s="92"/>
      <c r="U189" s="92"/>
      <c r="V189" s="92"/>
      <c r="W189" s="92"/>
      <c r="X189" s="93"/>
      <c r="Y189" s="100"/>
    </row>
    <row r="190" spans="2:25" ht="15.95" customHeight="1" x14ac:dyDescent="0.25">
      <c r="B190" s="108"/>
      <c r="C190" s="87"/>
      <c r="D190" s="63"/>
      <c r="E190" s="85"/>
      <c r="F190" s="86"/>
      <c r="G190" s="81"/>
      <c r="H190" s="82"/>
      <c r="Q190" s="108"/>
      <c r="R190" s="87"/>
      <c r="S190" s="92"/>
      <c r="T190" s="92"/>
      <c r="U190" s="92"/>
      <c r="V190" s="92"/>
      <c r="W190" s="92"/>
      <c r="X190" s="93"/>
      <c r="Y190" s="100"/>
    </row>
    <row r="191" spans="2:25" ht="15.95" customHeight="1" x14ac:dyDescent="0.25">
      <c r="B191" s="104"/>
      <c r="C191" s="87"/>
      <c r="D191" s="63"/>
      <c r="E191" s="85"/>
      <c r="F191" s="86"/>
      <c r="G191" s="81"/>
      <c r="H191" s="82"/>
      <c r="Q191" s="104"/>
      <c r="R191" s="87"/>
      <c r="S191" s="92"/>
      <c r="T191" s="92"/>
      <c r="U191" s="92"/>
      <c r="V191" s="92"/>
      <c r="W191" s="92"/>
      <c r="X191" s="93"/>
      <c r="Y191" s="100"/>
    </row>
    <row r="192" spans="2:25" ht="15.95" customHeight="1" x14ac:dyDescent="0.25">
      <c r="B192" s="104"/>
      <c r="C192" s="87"/>
      <c r="D192" s="63"/>
      <c r="E192" s="85"/>
      <c r="F192" s="86"/>
      <c r="G192" s="81"/>
      <c r="H192" s="82"/>
      <c r="Q192" s="104"/>
      <c r="R192" s="87"/>
      <c r="S192" s="92"/>
      <c r="T192" s="92"/>
      <c r="U192" s="92"/>
      <c r="V192" s="92"/>
      <c r="W192" s="92"/>
      <c r="X192" s="93"/>
      <c r="Y192" s="100"/>
    </row>
    <row r="193" spans="2:25" ht="15.95" customHeight="1" x14ac:dyDescent="0.25">
      <c r="B193" s="104"/>
      <c r="C193" s="87"/>
      <c r="D193" s="63"/>
      <c r="E193" s="85"/>
      <c r="F193" s="86"/>
      <c r="G193" s="81"/>
      <c r="H193" s="82"/>
      <c r="Q193" s="104"/>
      <c r="R193" s="87"/>
      <c r="S193" s="92"/>
      <c r="T193" s="92"/>
      <c r="U193" s="92"/>
      <c r="V193" s="92"/>
      <c r="W193" s="92"/>
      <c r="X193" s="93"/>
      <c r="Y193" s="100"/>
    </row>
    <row r="194" spans="2:25" ht="15.95" customHeight="1" x14ac:dyDescent="0.25">
      <c r="B194" s="104"/>
      <c r="C194" s="87"/>
      <c r="D194" s="63"/>
      <c r="E194" s="85"/>
      <c r="F194" s="86"/>
      <c r="G194" s="81"/>
      <c r="H194" s="82"/>
      <c r="Q194" s="104"/>
      <c r="R194" s="87"/>
      <c r="S194" s="92"/>
      <c r="T194" s="92"/>
      <c r="U194" s="92"/>
      <c r="V194" s="92"/>
      <c r="W194" s="92"/>
      <c r="X194" s="93"/>
      <c r="Y194" s="100"/>
    </row>
    <row r="195" spans="2:25" ht="15.95" customHeight="1" x14ac:dyDescent="0.25">
      <c r="B195" s="104"/>
      <c r="C195" s="87"/>
      <c r="D195" s="63"/>
      <c r="E195" s="85"/>
      <c r="F195" s="86"/>
      <c r="G195" s="81"/>
      <c r="H195" s="82"/>
      <c r="Q195" s="104"/>
      <c r="R195" s="87"/>
      <c r="S195" s="92"/>
      <c r="T195" s="92"/>
      <c r="U195" s="92"/>
      <c r="V195" s="92"/>
      <c r="W195" s="92"/>
      <c r="X195" s="93"/>
      <c r="Y195" s="100"/>
    </row>
    <row r="196" spans="2:25" ht="15.95" customHeight="1" x14ac:dyDescent="0.25">
      <c r="B196" s="104"/>
      <c r="C196" s="87"/>
      <c r="D196" s="63"/>
      <c r="E196" s="85"/>
      <c r="F196" s="86"/>
      <c r="G196" s="81"/>
      <c r="H196" s="82"/>
      <c r="Q196" s="104"/>
      <c r="R196" s="87"/>
      <c r="S196" s="92"/>
      <c r="T196" s="92"/>
      <c r="U196" s="92"/>
      <c r="V196" s="92"/>
      <c r="W196" s="92"/>
      <c r="X196" s="93"/>
      <c r="Y196" s="100"/>
    </row>
    <row r="197" spans="2:25" ht="15.95" customHeight="1" x14ac:dyDescent="0.25">
      <c r="B197" s="104"/>
      <c r="C197" s="87"/>
      <c r="D197" s="63"/>
      <c r="E197" s="85"/>
      <c r="F197" s="86"/>
      <c r="G197" s="81"/>
      <c r="H197" s="82"/>
      <c r="Q197" s="104"/>
      <c r="R197" s="87"/>
      <c r="S197" s="92"/>
      <c r="T197" s="92"/>
      <c r="U197" s="92"/>
      <c r="V197" s="92"/>
      <c r="W197" s="92"/>
      <c r="X197" s="93"/>
      <c r="Y197" s="100"/>
    </row>
    <row r="198" spans="2:25" ht="15.95" customHeight="1" x14ac:dyDescent="0.25">
      <c r="B198" s="108"/>
      <c r="C198" s="87"/>
      <c r="D198" s="63"/>
      <c r="E198" s="85"/>
      <c r="F198" s="86"/>
      <c r="G198" s="81"/>
      <c r="H198" s="82"/>
      <c r="Q198" s="108"/>
      <c r="R198" s="87"/>
      <c r="S198" s="92"/>
      <c r="T198" s="92"/>
      <c r="U198" s="92"/>
      <c r="V198" s="92"/>
      <c r="W198" s="92"/>
      <c r="X198" s="93"/>
      <c r="Y198" s="100"/>
    </row>
    <row r="199" spans="2:25" ht="15.95" customHeight="1" x14ac:dyDescent="0.25">
      <c r="B199" s="108"/>
      <c r="C199" s="87"/>
      <c r="D199" s="63"/>
      <c r="E199" s="85"/>
      <c r="F199" s="86"/>
      <c r="G199" s="81"/>
      <c r="H199" s="82"/>
      <c r="Q199" s="108"/>
      <c r="R199" s="87"/>
      <c r="S199" s="92"/>
      <c r="T199" s="92"/>
      <c r="U199" s="92"/>
      <c r="V199" s="92"/>
      <c r="W199" s="92"/>
      <c r="X199" s="93"/>
      <c r="Y199" s="100"/>
    </row>
    <row r="200" spans="2:25" ht="15.95" customHeight="1" x14ac:dyDescent="0.25">
      <c r="B200" s="108"/>
      <c r="C200" s="87"/>
      <c r="D200" s="63"/>
      <c r="E200" s="85"/>
      <c r="F200" s="86"/>
      <c r="G200" s="81"/>
      <c r="H200" s="82"/>
      <c r="Q200" s="108"/>
      <c r="R200" s="87"/>
      <c r="S200" s="92"/>
      <c r="T200" s="92"/>
      <c r="U200" s="92"/>
      <c r="V200" s="92"/>
      <c r="W200" s="92"/>
      <c r="X200" s="93"/>
      <c r="Y200" s="100"/>
    </row>
    <row r="201" spans="2:25" ht="15.95" customHeight="1" x14ac:dyDescent="0.25">
      <c r="B201" s="108"/>
      <c r="C201" s="87"/>
      <c r="D201" s="63"/>
      <c r="E201" s="85"/>
      <c r="F201" s="86"/>
      <c r="G201" s="81"/>
      <c r="H201" s="82"/>
      <c r="Q201" s="108"/>
      <c r="R201" s="87"/>
      <c r="S201" s="92"/>
      <c r="T201" s="92"/>
      <c r="U201" s="92"/>
      <c r="V201" s="92"/>
      <c r="W201" s="92"/>
      <c r="X201" s="93"/>
      <c r="Y201" s="100"/>
    </row>
    <row r="202" spans="2:25" ht="15.95" customHeight="1" x14ac:dyDescent="0.25">
      <c r="B202" s="104"/>
      <c r="C202" s="50"/>
      <c r="D202" s="63"/>
      <c r="E202" s="85"/>
      <c r="F202" s="86"/>
      <c r="G202" s="81"/>
      <c r="H202" s="82"/>
      <c r="Q202" s="104"/>
      <c r="R202" s="62"/>
      <c r="S202" s="85"/>
      <c r="T202" s="85"/>
      <c r="U202" s="85"/>
      <c r="V202" s="85"/>
      <c r="W202" s="85"/>
      <c r="X202" s="86"/>
      <c r="Y202" s="100"/>
    </row>
    <row r="203" spans="2:25" ht="15.95" customHeight="1" x14ac:dyDescent="0.25">
      <c r="B203" s="104"/>
      <c r="C203" s="50"/>
      <c r="D203" s="63"/>
      <c r="E203" s="85"/>
      <c r="F203" s="86"/>
      <c r="G203" s="81"/>
      <c r="H203" s="82"/>
      <c r="Q203" s="104"/>
      <c r="R203" s="62"/>
      <c r="S203" s="85"/>
      <c r="T203" s="85"/>
      <c r="U203" s="85"/>
      <c r="V203" s="85"/>
      <c r="W203" s="85"/>
      <c r="X203" s="86"/>
      <c r="Y203" s="100"/>
    </row>
    <row r="204" spans="2:25" ht="15.75" x14ac:dyDescent="0.25">
      <c r="B204" s="104"/>
      <c r="C204" s="50"/>
      <c r="D204" s="63"/>
      <c r="E204" s="85"/>
      <c r="F204" s="86"/>
      <c r="G204" s="81"/>
      <c r="H204" s="82"/>
      <c r="Q204" s="104"/>
      <c r="R204" s="62"/>
      <c r="S204" s="85"/>
      <c r="T204" s="85"/>
      <c r="U204" s="85"/>
      <c r="V204" s="85"/>
      <c r="W204" s="85"/>
      <c r="X204" s="86"/>
      <c r="Y204" s="100"/>
    </row>
    <row r="205" spans="2:25" ht="15.75" x14ac:dyDescent="0.25">
      <c r="B205" s="104"/>
      <c r="C205" s="50"/>
      <c r="D205" s="63"/>
      <c r="E205" s="85"/>
      <c r="F205" s="86"/>
      <c r="G205" s="81"/>
      <c r="H205" s="82"/>
      <c r="Q205" s="104"/>
      <c r="R205" s="62"/>
      <c r="S205" s="85"/>
      <c r="T205" s="85"/>
      <c r="U205" s="85"/>
      <c r="V205" s="85"/>
      <c r="W205" s="85"/>
      <c r="X205" s="86"/>
      <c r="Y205" s="100"/>
    </row>
    <row r="206" spans="2:25" ht="15.75" x14ac:dyDescent="0.25">
      <c r="B206" s="104"/>
      <c r="C206" s="50"/>
      <c r="D206" s="63"/>
      <c r="E206" s="85"/>
      <c r="F206" s="86"/>
      <c r="G206" s="81"/>
      <c r="H206" s="82"/>
      <c r="Q206" s="104"/>
      <c r="R206" s="62"/>
      <c r="S206" s="85"/>
      <c r="T206" s="85"/>
      <c r="U206" s="85"/>
      <c r="V206" s="85"/>
      <c r="W206" s="85"/>
      <c r="X206" s="86"/>
      <c r="Y206" s="100"/>
    </row>
    <row r="207" spans="2:25" ht="15.75" x14ac:dyDescent="0.25">
      <c r="B207" s="104"/>
      <c r="C207" s="50"/>
      <c r="D207" s="63"/>
      <c r="E207" s="85"/>
      <c r="F207" s="86"/>
      <c r="G207" s="81"/>
      <c r="H207" s="82"/>
      <c r="Q207" s="104"/>
      <c r="R207" s="62"/>
      <c r="S207" s="85"/>
      <c r="T207" s="85"/>
      <c r="U207" s="85"/>
      <c r="V207" s="85"/>
      <c r="W207" s="85"/>
      <c r="X207" s="86"/>
      <c r="Y207" s="100"/>
    </row>
    <row r="208" spans="2:25" ht="15.75" x14ac:dyDescent="0.25">
      <c r="B208" s="104"/>
      <c r="C208" s="50"/>
      <c r="D208" s="63"/>
      <c r="E208" s="85"/>
      <c r="F208" s="86"/>
      <c r="G208" s="81"/>
      <c r="H208" s="82"/>
      <c r="Q208" s="104"/>
      <c r="R208" s="62"/>
      <c r="S208" s="85"/>
      <c r="T208" s="85"/>
      <c r="U208" s="85"/>
      <c r="V208" s="85"/>
      <c r="W208" s="85"/>
      <c r="X208" s="86"/>
      <c r="Y208" s="100"/>
    </row>
    <row r="209" spans="2:25" ht="15.75" x14ac:dyDescent="0.25">
      <c r="B209" s="104"/>
      <c r="C209" s="87"/>
      <c r="D209" s="63"/>
      <c r="E209" s="85"/>
      <c r="F209" s="86"/>
      <c r="G209" s="81"/>
      <c r="H209" s="82"/>
      <c r="Q209" s="104"/>
      <c r="R209" s="50"/>
      <c r="S209" s="92"/>
      <c r="T209" s="92"/>
      <c r="U209" s="92"/>
      <c r="V209" s="92"/>
      <c r="W209" s="92"/>
      <c r="X209" s="93"/>
      <c r="Y209" s="100"/>
    </row>
    <row r="210" spans="2:25" ht="15.75" x14ac:dyDescent="0.25">
      <c r="B210" s="104"/>
      <c r="C210" s="87"/>
      <c r="D210" s="63"/>
      <c r="E210" s="85"/>
      <c r="F210" s="86"/>
      <c r="G210" s="81"/>
      <c r="H210" s="82"/>
      <c r="Q210" s="104"/>
      <c r="R210" s="50"/>
      <c r="S210" s="92"/>
      <c r="T210" s="92"/>
      <c r="U210" s="92"/>
      <c r="V210" s="92"/>
      <c r="W210" s="92"/>
      <c r="X210" s="93"/>
      <c r="Y210" s="100"/>
    </row>
    <row r="211" spans="2:25" ht="15.75" x14ac:dyDescent="0.25">
      <c r="B211" s="104"/>
      <c r="C211" s="87"/>
      <c r="D211" s="63"/>
      <c r="E211" s="85"/>
      <c r="F211" s="86"/>
      <c r="G211" s="81"/>
      <c r="H211" s="82"/>
      <c r="Q211" s="104"/>
      <c r="R211" s="50"/>
      <c r="S211" s="92"/>
      <c r="T211" s="92"/>
      <c r="U211" s="92"/>
      <c r="V211" s="92"/>
      <c r="W211" s="92"/>
      <c r="X211" s="93"/>
      <c r="Y211" s="100"/>
    </row>
    <row r="212" spans="2:25" x14ac:dyDescent="0.25">
      <c r="B212" s="113"/>
      <c r="C212" s="87"/>
      <c r="D212" s="63"/>
      <c r="E212" s="85"/>
      <c r="F212" s="86"/>
      <c r="G212" s="81"/>
      <c r="H212" s="82"/>
      <c r="Q212" s="113"/>
      <c r="R212" s="50"/>
      <c r="S212" s="92"/>
      <c r="T212" s="92"/>
      <c r="U212" s="92"/>
      <c r="V212" s="92"/>
      <c r="W212" s="92"/>
      <c r="X212" s="93"/>
      <c r="Y212" s="100"/>
    </row>
    <row r="213" spans="2:25" x14ac:dyDescent="0.25">
      <c r="B213" s="113"/>
      <c r="C213" s="87"/>
      <c r="D213" s="63"/>
      <c r="E213" s="85"/>
      <c r="F213" s="86"/>
      <c r="G213" s="81"/>
      <c r="H213" s="82"/>
      <c r="Q213" s="113"/>
      <c r="R213" s="50"/>
      <c r="S213" s="92"/>
      <c r="T213" s="92"/>
      <c r="U213" s="92"/>
      <c r="V213" s="92"/>
      <c r="W213" s="92"/>
      <c r="X213" s="93"/>
      <c r="Y213" s="100"/>
    </row>
    <row r="214" spans="2:25" ht="15.75" x14ac:dyDescent="0.25">
      <c r="B214" s="104"/>
      <c r="C214" s="50"/>
      <c r="D214" s="63"/>
      <c r="E214" s="85"/>
      <c r="F214" s="86"/>
      <c r="G214" s="81"/>
      <c r="H214" s="82"/>
      <c r="Q214" s="104"/>
      <c r="R214" s="62"/>
      <c r="S214" s="85"/>
      <c r="T214" s="85"/>
      <c r="U214" s="85"/>
      <c r="V214" s="85"/>
      <c r="W214" s="85"/>
      <c r="X214" s="86"/>
      <c r="Y214" s="100"/>
    </row>
    <row r="215" spans="2:25" ht="15.75" x14ac:dyDescent="0.25">
      <c r="B215" s="104"/>
      <c r="C215" s="50"/>
      <c r="D215" s="63"/>
      <c r="E215" s="85"/>
      <c r="F215" s="86"/>
      <c r="G215" s="81"/>
      <c r="H215" s="82"/>
      <c r="Q215" s="104"/>
      <c r="R215" s="62"/>
      <c r="S215" s="85"/>
      <c r="T215" s="85"/>
      <c r="U215" s="85"/>
      <c r="V215" s="85"/>
      <c r="W215" s="85"/>
      <c r="X215" s="86"/>
      <c r="Y215" s="100"/>
    </row>
    <row r="216" spans="2:25" ht="15.75" x14ac:dyDescent="0.25">
      <c r="B216" s="104"/>
      <c r="C216" s="50"/>
      <c r="D216" s="63"/>
      <c r="E216" s="85"/>
      <c r="F216" s="86"/>
      <c r="G216" s="81"/>
      <c r="H216" s="82"/>
      <c r="Q216" s="104"/>
      <c r="R216" s="62"/>
      <c r="S216" s="85"/>
      <c r="T216" s="85"/>
      <c r="U216" s="85"/>
      <c r="V216" s="85"/>
      <c r="W216" s="85"/>
      <c r="X216" s="86"/>
      <c r="Y216" s="100"/>
    </row>
    <row r="217" spans="2:25" ht="15.75" x14ac:dyDescent="0.25">
      <c r="B217" s="104"/>
      <c r="C217" s="50"/>
      <c r="D217" s="63"/>
      <c r="E217" s="85"/>
      <c r="F217" s="86"/>
      <c r="G217" s="81"/>
      <c r="H217" s="82"/>
      <c r="Q217" s="104"/>
      <c r="R217" s="62"/>
      <c r="S217" s="85"/>
      <c r="T217" s="85"/>
      <c r="U217" s="85"/>
      <c r="V217" s="85"/>
      <c r="W217" s="85"/>
      <c r="X217" s="86"/>
      <c r="Y217" s="100"/>
    </row>
    <row r="218" spans="2:25" ht="15.75" x14ac:dyDescent="0.25">
      <c r="B218" s="104"/>
      <c r="C218" s="50"/>
      <c r="D218" s="63"/>
      <c r="E218" s="85"/>
      <c r="F218" s="86"/>
      <c r="G218" s="81"/>
      <c r="H218" s="82"/>
      <c r="Q218" s="104"/>
      <c r="R218" s="62"/>
      <c r="S218" s="85"/>
      <c r="T218" s="85"/>
      <c r="U218" s="85"/>
      <c r="V218" s="85"/>
      <c r="W218" s="85"/>
      <c r="X218" s="86"/>
      <c r="Y218" s="100"/>
    </row>
    <row r="219" spans="2:25" ht="15.75" x14ac:dyDescent="0.25">
      <c r="B219" s="104"/>
      <c r="C219" s="50"/>
      <c r="D219" s="63"/>
      <c r="E219" s="85"/>
      <c r="F219" s="86"/>
      <c r="G219" s="81"/>
      <c r="H219" s="82"/>
      <c r="Q219" s="104"/>
      <c r="R219" s="62"/>
      <c r="S219" s="85"/>
      <c r="T219" s="85"/>
      <c r="U219" s="85"/>
      <c r="V219" s="85"/>
      <c r="W219" s="85"/>
      <c r="X219" s="86"/>
      <c r="Y219" s="100"/>
    </row>
    <row r="220" spans="2:25" ht="15.75" x14ac:dyDescent="0.25">
      <c r="B220" s="104"/>
      <c r="C220" s="50"/>
      <c r="D220" s="63"/>
      <c r="E220" s="85"/>
      <c r="F220" s="86"/>
      <c r="G220" s="81"/>
      <c r="H220" s="82"/>
      <c r="Q220" s="104"/>
      <c r="R220" s="62"/>
      <c r="S220" s="85"/>
      <c r="T220" s="85"/>
      <c r="U220" s="85"/>
      <c r="V220" s="85"/>
      <c r="W220" s="85"/>
      <c r="X220" s="86"/>
      <c r="Y220" s="100"/>
    </row>
    <row r="221" spans="2:25" ht="15.75" x14ac:dyDescent="0.25">
      <c r="B221" s="104"/>
      <c r="C221" s="50"/>
      <c r="D221" s="63"/>
      <c r="E221" s="85"/>
      <c r="F221" s="86"/>
      <c r="G221" s="81"/>
      <c r="H221" s="82"/>
      <c r="Q221" s="104"/>
      <c r="R221" s="62"/>
      <c r="S221" s="85"/>
      <c r="T221" s="85"/>
      <c r="U221" s="85"/>
      <c r="V221" s="85"/>
      <c r="W221" s="85"/>
      <c r="X221" s="86"/>
      <c r="Y221" s="100"/>
    </row>
    <row r="222" spans="2:25" ht="15.75" x14ac:dyDescent="0.25">
      <c r="B222" s="104"/>
      <c r="C222" s="50"/>
      <c r="D222" s="63"/>
      <c r="E222" s="85"/>
      <c r="F222" s="86"/>
      <c r="G222" s="81"/>
      <c r="H222" s="82"/>
      <c r="Q222" s="104"/>
      <c r="R222" s="62"/>
      <c r="S222" s="85"/>
      <c r="T222" s="85"/>
      <c r="U222" s="85"/>
      <c r="V222" s="85"/>
      <c r="W222" s="85"/>
      <c r="X222" s="86"/>
      <c r="Y222" s="100"/>
    </row>
    <row r="223" spans="2:25" ht="15.75" x14ac:dyDescent="0.25">
      <c r="B223" s="104"/>
      <c r="C223" s="50"/>
      <c r="D223" s="63"/>
      <c r="E223" s="85"/>
      <c r="F223" s="86"/>
      <c r="G223" s="81"/>
      <c r="H223" s="82"/>
      <c r="Q223" s="104"/>
      <c r="R223" s="62"/>
      <c r="S223" s="85"/>
      <c r="T223" s="85"/>
      <c r="U223" s="85"/>
      <c r="V223" s="85"/>
      <c r="W223" s="85"/>
      <c r="X223" s="86"/>
      <c r="Y223" s="100"/>
    </row>
    <row r="224" spans="2:25" ht="15.75" x14ac:dyDescent="0.25">
      <c r="B224" s="59"/>
      <c r="C224" s="88"/>
      <c r="D224" s="63"/>
      <c r="E224" s="85"/>
      <c r="F224" s="86"/>
      <c r="G224" s="81"/>
      <c r="H224" s="82"/>
      <c r="Q224" s="59"/>
      <c r="R224" s="88"/>
      <c r="S224" s="92"/>
      <c r="T224" s="92"/>
      <c r="U224" s="92"/>
      <c r="V224" s="92"/>
      <c r="W224" s="92"/>
      <c r="X224" s="93"/>
      <c r="Y224" s="100"/>
    </row>
    <row r="225" spans="2:25" ht="15.75" x14ac:dyDescent="0.25">
      <c r="B225" s="59"/>
      <c r="C225" s="88"/>
      <c r="D225" s="63"/>
      <c r="E225" s="85"/>
      <c r="F225" s="86"/>
      <c r="G225" s="81"/>
      <c r="H225" s="82"/>
      <c r="Q225" s="59"/>
      <c r="R225" s="88"/>
      <c r="S225" s="92"/>
      <c r="T225" s="92"/>
      <c r="U225" s="92"/>
      <c r="V225" s="92"/>
      <c r="W225" s="92"/>
      <c r="X225" s="93"/>
      <c r="Y225" s="100"/>
    </row>
    <row r="226" spans="2:25" ht="15.75" x14ac:dyDescent="0.25">
      <c r="B226" s="59"/>
      <c r="C226" s="88"/>
      <c r="D226" s="63"/>
      <c r="E226" s="85"/>
      <c r="F226" s="86"/>
      <c r="G226" s="81"/>
      <c r="H226" s="82"/>
      <c r="Q226" s="59"/>
      <c r="R226" s="88"/>
      <c r="S226" s="92"/>
      <c r="T226" s="92"/>
      <c r="U226" s="92"/>
      <c r="V226" s="92"/>
      <c r="W226" s="92"/>
      <c r="X226" s="93"/>
      <c r="Y226" s="100"/>
    </row>
    <row r="227" spans="2:25" ht="15.75" x14ac:dyDescent="0.25">
      <c r="B227" s="59"/>
      <c r="C227" s="88"/>
      <c r="D227" s="63"/>
      <c r="E227" s="85"/>
      <c r="F227" s="86"/>
      <c r="G227" s="81"/>
      <c r="H227" s="82"/>
      <c r="Q227" s="59"/>
      <c r="R227" s="88"/>
      <c r="S227" s="92"/>
      <c r="T227" s="92"/>
      <c r="U227" s="92"/>
      <c r="V227" s="92"/>
      <c r="W227" s="92"/>
      <c r="X227" s="93"/>
      <c r="Y227" s="100"/>
    </row>
    <row r="228" spans="2:25" ht="15.75" x14ac:dyDescent="0.25">
      <c r="B228" s="59"/>
      <c r="C228" s="88"/>
      <c r="D228" s="63"/>
      <c r="E228" s="85"/>
      <c r="F228" s="86"/>
      <c r="G228" s="81"/>
      <c r="H228" s="82"/>
      <c r="Q228" s="59"/>
      <c r="R228" s="88"/>
      <c r="S228" s="92"/>
      <c r="T228" s="92"/>
      <c r="U228" s="92"/>
      <c r="V228" s="92"/>
      <c r="W228" s="92"/>
      <c r="X228" s="93"/>
      <c r="Y228" s="100"/>
    </row>
    <row r="229" spans="2:25" x14ac:dyDescent="0.25">
      <c r="B229" s="114"/>
      <c r="C229" s="89"/>
      <c r="D229" s="91"/>
      <c r="E229" s="92"/>
      <c r="F229" s="93"/>
      <c r="G229" s="94"/>
      <c r="H229" s="95"/>
      <c r="Q229" s="114"/>
      <c r="R229" s="89"/>
      <c r="S229" s="92"/>
      <c r="T229" s="92"/>
      <c r="U229" s="92"/>
      <c r="V229" s="92"/>
      <c r="W229" s="92"/>
      <c r="X229" s="93"/>
      <c r="Y229" s="100"/>
    </row>
    <row r="230" spans="2:25" x14ac:dyDescent="0.25">
      <c r="B230" s="114"/>
      <c r="C230" s="90"/>
      <c r="D230" s="91"/>
      <c r="E230" s="92"/>
      <c r="F230" s="93"/>
      <c r="G230" s="94"/>
      <c r="H230" s="95"/>
      <c r="Q230" s="114"/>
      <c r="R230" s="90"/>
      <c r="S230" s="92"/>
      <c r="T230" s="92"/>
      <c r="U230" s="92"/>
      <c r="V230" s="92"/>
      <c r="W230" s="92"/>
      <c r="X230" s="93"/>
      <c r="Y230" s="100"/>
    </row>
    <row r="231" spans="2:25" x14ac:dyDescent="0.25">
      <c r="B231" s="117"/>
      <c r="C231" s="90"/>
      <c r="D231" s="63"/>
      <c r="E231" s="85"/>
      <c r="F231" s="86"/>
      <c r="G231" s="81"/>
      <c r="H231" s="82"/>
      <c r="Q231" s="117"/>
      <c r="R231" s="90"/>
      <c r="S231" s="92"/>
      <c r="T231" s="92"/>
      <c r="U231" s="92"/>
      <c r="V231" s="92"/>
      <c r="W231" s="92"/>
      <c r="X231" s="93"/>
      <c r="Y231" s="100"/>
    </row>
    <row r="232" spans="2:25" x14ac:dyDescent="0.25">
      <c r="B232" s="118"/>
      <c r="C232" s="90"/>
      <c r="D232" s="63"/>
      <c r="E232" s="85"/>
      <c r="F232" s="86"/>
      <c r="G232" s="81"/>
      <c r="H232" s="82"/>
      <c r="Q232" s="118"/>
      <c r="R232" s="90"/>
      <c r="S232" s="92"/>
      <c r="T232" s="92"/>
      <c r="U232" s="92"/>
      <c r="V232" s="92"/>
      <c r="W232" s="92"/>
      <c r="X232" s="93"/>
      <c r="Y232" s="100"/>
    </row>
    <row r="233" spans="2:25" x14ac:dyDescent="0.25">
      <c r="B233" s="118"/>
      <c r="C233" s="90"/>
      <c r="D233" s="63"/>
      <c r="E233" s="85"/>
      <c r="F233" s="86"/>
      <c r="G233" s="81"/>
      <c r="H233" s="82"/>
      <c r="Q233" s="118"/>
      <c r="R233" s="90"/>
      <c r="S233" s="92"/>
      <c r="T233" s="92"/>
      <c r="U233" s="92"/>
      <c r="V233" s="92"/>
      <c r="W233" s="92"/>
      <c r="X233" s="93"/>
      <c r="Y233" s="100"/>
    </row>
    <row r="234" spans="2:25" ht="15.75" x14ac:dyDescent="0.25">
      <c r="B234" s="59"/>
      <c r="C234" s="88"/>
      <c r="D234" s="63"/>
      <c r="E234" s="85"/>
      <c r="F234" s="86"/>
      <c r="G234" s="81"/>
      <c r="H234" s="82"/>
      <c r="Q234" s="59"/>
      <c r="R234" s="88"/>
      <c r="S234" s="92"/>
      <c r="T234" s="92"/>
      <c r="U234" s="92"/>
      <c r="V234" s="92"/>
      <c r="W234" s="92"/>
      <c r="X234" s="93"/>
      <c r="Y234" s="100"/>
    </row>
    <row r="235" spans="2:25" ht="15.75" x14ac:dyDescent="0.25">
      <c r="B235" s="59"/>
      <c r="C235" s="88"/>
      <c r="D235" s="63"/>
      <c r="E235" s="85"/>
      <c r="F235" s="86"/>
      <c r="G235" s="81"/>
      <c r="H235" s="82"/>
      <c r="Q235" s="59"/>
      <c r="R235" s="88"/>
      <c r="S235" s="92"/>
      <c r="T235" s="92"/>
      <c r="U235" s="92"/>
      <c r="V235" s="92"/>
      <c r="W235" s="92"/>
      <c r="X235" s="93"/>
      <c r="Y235" s="100"/>
    </row>
    <row r="236" spans="2:25" ht="15.75" x14ac:dyDescent="0.25">
      <c r="B236" s="59"/>
      <c r="C236" s="88"/>
      <c r="D236" s="63"/>
      <c r="E236" s="85"/>
      <c r="F236" s="86"/>
      <c r="G236" s="81"/>
      <c r="H236" s="82"/>
      <c r="Q236" s="59"/>
      <c r="R236" s="88"/>
      <c r="S236" s="92"/>
      <c r="T236" s="92"/>
      <c r="U236" s="92"/>
      <c r="V236" s="92"/>
      <c r="W236" s="92"/>
      <c r="X236" s="93"/>
      <c r="Y236" s="100"/>
    </row>
    <row r="237" spans="2:25" ht="15.75" x14ac:dyDescent="0.25">
      <c r="B237" s="59"/>
      <c r="C237" s="88"/>
      <c r="D237" s="63"/>
      <c r="E237" s="85"/>
      <c r="F237" s="86"/>
      <c r="G237" s="81"/>
      <c r="H237" s="82"/>
      <c r="Q237" s="59"/>
      <c r="R237" s="88"/>
      <c r="S237" s="92"/>
      <c r="T237" s="92"/>
      <c r="U237" s="92"/>
      <c r="V237" s="92"/>
      <c r="W237" s="92"/>
      <c r="X237" s="93"/>
      <c r="Y237" s="100"/>
    </row>
    <row r="238" spans="2:25" ht="15.75" x14ac:dyDescent="0.25">
      <c r="B238" s="59"/>
      <c r="C238" s="88"/>
      <c r="D238" s="63"/>
      <c r="E238" s="85"/>
      <c r="F238" s="86"/>
      <c r="G238" s="81"/>
      <c r="H238" s="82"/>
      <c r="Q238" s="59"/>
      <c r="R238" s="88"/>
      <c r="S238" s="92"/>
      <c r="T238" s="92"/>
      <c r="U238" s="92"/>
      <c r="V238" s="92"/>
      <c r="W238" s="92"/>
      <c r="X238" s="93"/>
      <c r="Y238" s="100"/>
    </row>
    <row r="239" spans="2:25" ht="15.75" x14ac:dyDescent="0.25">
      <c r="B239" s="59"/>
      <c r="C239" s="88"/>
      <c r="D239" s="63"/>
      <c r="E239" s="85"/>
      <c r="F239" s="86"/>
      <c r="G239" s="81"/>
      <c r="H239" s="82"/>
      <c r="Q239" s="59"/>
      <c r="R239" s="88"/>
      <c r="S239" s="92"/>
      <c r="T239" s="92"/>
      <c r="U239" s="92"/>
      <c r="V239" s="92"/>
      <c r="W239" s="92"/>
      <c r="X239" s="93"/>
      <c r="Y239" s="100"/>
    </row>
    <row r="240" spans="2:25" ht="15.75" x14ac:dyDescent="0.25">
      <c r="B240" s="59"/>
      <c r="C240" s="88"/>
      <c r="D240" s="63"/>
      <c r="E240" s="85"/>
      <c r="F240" s="86"/>
      <c r="G240" s="81"/>
      <c r="H240" s="82"/>
      <c r="Q240" s="59"/>
      <c r="R240" s="88"/>
      <c r="S240" s="92"/>
      <c r="T240" s="92"/>
      <c r="U240" s="92"/>
      <c r="V240" s="92"/>
      <c r="W240" s="92"/>
      <c r="X240" s="93"/>
      <c r="Y240" s="100"/>
    </row>
    <row r="241" spans="2:25" ht="15.75" x14ac:dyDescent="0.25">
      <c r="B241" s="59"/>
      <c r="C241" s="88"/>
      <c r="D241" s="63"/>
      <c r="E241" s="85"/>
      <c r="F241" s="86"/>
      <c r="G241" s="81"/>
      <c r="H241" s="82"/>
      <c r="Q241" s="59"/>
      <c r="R241" s="88"/>
      <c r="S241" s="92"/>
      <c r="T241" s="92"/>
      <c r="U241" s="92"/>
      <c r="V241" s="92"/>
      <c r="W241" s="92"/>
      <c r="X241" s="93"/>
      <c r="Y241" s="100"/>
    </row>
    <row r="242" spans="2:25" ht="15.75" x14ac:dyDescent="0.25">
      <c r="B242" s="59"/>
      <c r="C242" s="88"/>
      <c r="D242" s="63"/>
      <c r="E242" s="85"/>
      <c r="F242" s="86"/>
      <c r="G242" s="81"/>
      <c r="H242" s="82"/>
      <c r="Q242" s="59"/>
      <c r="R242" s="88"/>
      <c r="S242" s="92"/>
      <c r="T242" s="92"/>
      <c r="U242" s="92"/>
      <c r="V242" s="92"/>
      <c r="W242" s="92"/>
      <c r="X242" s="93"/>
      <c r="Y242" s="100"/>
    </row>
    <row r="243" spans="2:25" ht="15.75" x14ac:dyDescent="0.25">
      <c r="B243" s="59"/>
      <c r="C243" s="88"/>
      <c r="D243" s="63"/>
      <c r="E243" s="85"/>
      <c r="F243" s="86"/>
      <c r="G243" s="81"/>
      <c r="H243" s="82"/>
      <c r="Q243" s="59"/>
      <c r="R243" s="88"/>
      <c r="S243" s="92"/>
      <c r="T243" s="92"/>
      <c r="U243" s="92"/>
      <c r="V243" s="92"/>
      <c r="W243" s="92"/>
      <c r="X243" s="93"/>
      <c r="Y243" s="100"/>
    </row>
    <row r="244" spans="2:25" ht="15.75" x14ac:dyDescent="0.25">
      <c r="B244" s="59"/>
      <c r="C244" s="88"/>
      <c r="D244" s="63"/>
      <c r="E244" s="85"/>
      <c r="F244" s="86"/>
      <c r="G244" s="81"/>
      <c r="H244" s="82"/>
      <c r="Q244" s="59"/>
      <c r="R244" s="88"/>
      <c r="S244" s="92"/>
      <c r="T244" s="92"/>
      <c r="U244" s="92"/>
      <c r="V244" s="92"/>
      <c r="W244" s="92"/>
      <c r="X244" s="93"/>
      <c r="Y244" s="100"/>
    </row>
    <row r="245" spans="2:25" ht="15.75" x14ac:dyDescent="0.25">
      <c r="B245" s="59"/>
      <c r="C245" s="88"/>
      <c r="D245" s="63"/>
      <c r="E245" s="85"/>
      <c r="F245" s="86"/>
      <c r="G245" s="81"/>
      <c r="H245" s="82"/>
      <c r="Q245" s="59"/>
      <c r="R245" s="88"/>
      <c r="S245" s="92"/>
      <c r="T245" s="92"/>
      <c r="U245" s="92"/>
      <c r="V245" s="92"/>
      <c r="W245" s="92"/>
      <c r="X245" s="93"/>
      <c r="Y245" s="100"/>
    </row>
    <row r="246" spans="2:25" ht="15.75" x14ac:dyDescent="0.25">
      <c r="B246" s="59"/>
      <c r="C246" s="88"/>
      <c r="D246" s="63"/>
      <c r="E246" s="85"/>
      <c r="F246" s="86"/>
      <c r="G246" s="81"/>
      <c r="H246" s="82"/>
      <c r="Q246" s="59"/>
      <c r="R246" s="88"/>
      <c r="S246" s="92"/>
      <c r="T246" s="92"/>
      <c r="U246" s="92"/>
      <c r="V246" s="92"/>
      <c r="W246" s="92"/>
      <c r="X246" s="93"/>
      <c r="Y246" s="100"/>
    </row>
    <row r="247" spans="2:25" ht="15.75" x14ac:dyDescent="0.25">
      <c r="B247" s="59"/>
      <c r="C247" s="88"/>
      <c r="D247" s="63"/>
      <c r="E247" s="85"/>
      <c r="F247" s="86"/>
      <c r="G247" s="81"/>
      <c r="H247" s="82"/>
      <c r="Q247" s="59"/>
      <c r="R247" s="88"/>
      <c r="S247" s="92"/>
      <c r="T247" s="92"/>
      <c r="U247" s="92"/>
      <c r="V247" s="92"/>
      <c r="W247" s="92"/>
      <c r="X247" s="93"/>
      <c r="Y247" s="100"/>
    </row>
    <row r="248" spans="2:25" x14ac:dyDescent="0.25">
      <c r="B248" s="103"/>
      <c r="C248" s="90"/>
      <c r="D248" s="63"/>
      <c r="E248" s="85"/>
      <c r="F248" s="86"/>
      <c r="G248" s="81"/>
      <c r="H248" s="82"/>
      <c r="Q248" s="103"/>
      <c r="R248" s="32"/>
      <c r="S248" s="92"/>
      <c r="T248" s="92"/>
      <c r="U248" s="92"/>
      <c r="V248" s="92"/>
      <c r="W248" s="92"/>
      <c r="X248" s="93"/>
      <c r="Y248" s="100"/>
    </row>
    <row r="249" spans="2:25" x14ac:dyDescent="0.25">
      <c r="B249" s="103"/>
      <c r="C249" s="90"/>
      <c r="D249" s="63"/>
      <c r="E249" s="85"/>
      <c r="F249" s="86"/>
      <c r="G249" s="81"/>
      <c r="H249" s="82"/>
      <c r="Q249" s="103"/>
      <c r="R249" s="32"/>
      <c r="S249" s="92"/>
      <c r="T249" s="92"/>
      <c r="U249" s="92"/>
      <c r="V249" s="92"/>
      <c r="W249" s="92"/>
      <c r="X249" s="93"/>
      <c r="Y249" s="100"/>
    </row>
    <row r="250" spans="2:25" x14ac:dyDescent="0.25">
      <c r="B250" s="103"/>
      <c r="C250" s="89"/>
      <c r="D250" s="63"/>
      <c r="E250" s="85"/>
      <c r="F250" s="86"/>
      <c r="G250" s="81"/>
      <c r="H250" s="82"/>
      <c r="Q250" s="103"/>
      <c r="R250" s="101"/>
      <c r="S250" s="92"/>
      <c r="T250" s="92"/>
      <c r="U250" s="92"/>
      <c r="V250" s="92"/>
      <c r="W250" s="92"/>
      <c r="X250" s="93"/>
      <c r="Y250" s="100"/>
    </row>
    <row r="251" spans="2:25" x14ac:dyDescent="0.25">
      <c r="B251" s="103"/>
      <c r="C251" s="89"/>
      <c r="D251" s="63"/>
      <c r="E251" s="85"/>
      <c r="F251" s="86"/>
      <c r="G251" s="81"/>
      <c r="H251" s="82"/>
      <c r="Q251" s="103"/>
      <c r="R251" s="102"/>
      <c r="S251" s="92"/>
      <c r="T251" s="92"/>
      <c r="U251" s="92"/>
      <c r="V251" s="92"/>
      <c r="W251" s="92"/>
      <c r="X251" s="93"/>
      <c r="Y251" s="100"/>
    </row>
    <row r="252" spans="2:25" ht="15.75" x14ac:dyDescent="0.25">
      <c r="C252" s="1"/>
      <c r="D252" s="61"/>
      <c r="E252" s="49"/>
      <c r="F252" s="49"/>
      <c r="G252" s="52"/>
      <c r="H252" s="30"/>
      <c r="Q252" s="59"/>
    </row>
    <row r="253" spans="2:25" ht="18.75" x14ac:dyDescent="0.3">
      <c r="C253" s="109"/>
      <c r="D253" s="109"/>
      <c r="E253" s="109"/>
      <c r="F253" s="109"/>
      <c r="G253" s="109"/>
      <c r="Q253" s="51"/>
      <c r="R253" s="48"/>
      <c r="S253" s="48"/>
      <c r="T253" s="48"/>
      <c r="U253" s="48"/>
      <c r="V253" s="48"/>
      <c r="W253" s="48"/>
      <c r="X253" s="48"/>
    </row>
    <row r="254" spans="2:25" ht="18.75" x14ac:dyDescent="0.3">
      <c r="C254" s="110"/>
      <c r="D254" s="110"/>
      <c r="E254" s="110"/>
      <c r="F254" s="110"/>
      <c r="G254" s="110"/>
      <c r="R254" s="119"/>
      <c r="S254" s="119"/>
      <c r="T254" s="119"/>
      <c r="U254" s="119"/>
      <c r="V254" s="119"/>
      <c r="W254" s="119"/>
      <c r="X254" s="119"/>
    </row>
    <row r="255" spans="2:25" ht="18.75" x14ac:dyDescent="0.3">
      <c r="C255" s="111"/>
      <c r="D255" s="111"/>
      <c r="E255" s="111"/>
      <c r="F255" s="112"/>
      <c r="G255" s="112"/>
      <c r="R255" s="115"/>
      <c r="S255" s="115"/>
      <c r="T255" s="115"/>
      <c r="U255" s="115"/>
      <c r="V255" s="116"/>
      <c r="W255" s="116"/>
      <c r="X255" s="116"/>
    </row>
  </sheetData>
  <mergeCells count="150">
    <mergeCell ref="AK22:AK24"/>
    <mergeCell ref="AK36:AK37"/>
    <mergeCell ref="J44:J45"/>
    <mergeCell ref="J23:J25"/>
    <mergeCell ref="B16:B22"/>
    <mergeCell ref="J16:J22"/>
    <mergeCell ref="AA49:AA58"/>
    <mergeCell ref="AK49:AK58"/>
    <mergeCell ref="AN6:AP6"/>
    <mergeCell ref="AM5:AQ5"/>
    <mergeCell ref="AD6:AF6"/>
    <mergeCell ref="AD5:AF5"/>
    <mergeCell ref="AQ3:AS3"/>
    <mergeCell ref="AD2:AF2"/>
    <mergeCell ref="AG3:AI3"/>
    <mergeCell ref="AA9:AA15"/>
    <mergeCell ref="AK9:AK15"/>
    <mergeCell ref="AM2:AQ2"/>
    <mergeCell ref="AA16:AA21"/>
    <mergeCell ref="AK16:AK21"/>
    <mergeCell ref="AA25:AA28"/>
    <mergeCell ref="AK25:AK28"/>
    <mergeCell ref="AA31:AA37"/>
    <mergeCell ref="AK29:AK35"/>
    <mergeCell ref="AA38:AA43"/>
    <mergeCell ref="AK38:AK43"/>
    <mergeCell ref="AA44:AA48"/>
    <mergeCell ref="AK44:AK48"/>
    <mergeCell ref="AA22:AA24"/>
    <mergeCell ref="AA29:AA30"/>
    <mergeCell ref="B9:B15"/>
    <mergeCell ref="T6:V6"/>
    <mergeCell ref="Q16:Q22"/>
    <mergeCell ref="Q9:Q15"/>
    <mergeCell ref="D5:F5"/>
    <mergeCell ref="B99:B101"/>
    <mergeCell ref="B102:B104"/>
    <mergeCell ref="B87:B89"/>
    <mergeCell ref="B90:B92"/>
    <mergeCell ref="B93:B95"/>
    <mergeCell ref="B96:B98"/>
    <mergeCell ref="J26:J30"/>
    <mergeCell ref="J31:J33"/>
    <mergeCell ref="J34:J40"/>
    <mergeCell ref="J41:J43"/>
    <mergeCell ref="J46:J53"/>
    <mergeCell ref="J54:J61"/>
    <mergeCell ref="B26:B31"/>
    <mergeCell ref="B32:B34"/>
    <mergeCell ref="B35:B43"/>
    <mergeCell ref="B44:B46"/>
    <mergeCell ref="B49:B57"/>
    <mergeCell ref="B23:B25"/>
    <mergeCell ref="B47:B48"/>
    <mergeCell ref="T2:V2"/>
    <mergeCell ref="J98:J100"/>
    <mergeCell ref="Q99:Q101"/>
    <mergeCell ref="K2:N2"/>
    <mergeCell ref="J83:J85"/>
    <mergeCell ref="J86:J88"/>
    <mergeCell ref="J89:J91"/>
    <mergeCell ref="J92:J94"/>
    <mergeCell ref="J95:J97"/>
    <mergeCell ref="T5:V5"/>
    <mergeCell ref="J62:J63"/>
    <mergeCell ref="J64:J77"/>
    <mergeCell ref="J78:J82"/>
    <mergeCell ref="Q82:Q86"/>
    <mergeCell ref="R42:Y42"/>
    <mergeCell ref="Q47:Q48"/>
    <mergeCell ref="Q23:Q25"/>
    <mergeCell ref="Q26:Q31"/>
    <mergeCell ref="Q32:Q34"/>
    <mergeCell ref="D2:F2"/>
    <mergeCell ref="D3:F3"/>
    <mergeCell ref="J5:L5"/>
    <mergeCell ref="M5:O5"/>
    <mergeCell ref="D6:F6"/>
    <mergeCell ref="J9:J15"/>
    <mergeCell ref="Q35:Q43"/>
    <mergeCell ref="M148:N148"/>
    <mergeCell ref="K148:L148"/>
    <mergeCell ref="C42:H42"/>
    <mergeCell ref="J101:J104"/>
    <mergeCell ref="J109:J112"/>
    <mergeCell ref="J117:J120"/>
    <mergeCell ref="J113:J116"/>
    <mergeCell ref="J105:J108"/>
    <mergeCell ref="Q113:Q116"/>
    <mergeCell ref="Q87:Q89"/>
    <mergeCell ref="Q90:Q92"/>
    <mergeCell ref="Q93:Q95"/>
    <mergeCell ref="Q96:Q98"/>
    <mergeCell ref="Q44:Q46"/>
    <mergeCell ref="Q49:Q57"/>
    <mergeCell ref="Q58:Q65"/>
    <mergeCell ref="Q66:Q67"/>
    <mergeCell ref="Q68:Q81"/>
    <mergeCell ref="Q102:Q104"/>
    <mergeCell ref="Q105:Q108"/>
    <mergeCell ref="Q109:Q112"/>
    <mergeCell ref="B149:B150"/>
    <mergeCell ref="B151:B153"/>
    <mergeCell ref="B131:B133"/>
    <mergeCell ref="J121:J126"/>
    <mergeCell ref="J130:J132"/>
    <mergeCell ref="J133:J136"/>
    <mergeCell ref="J137:J140"/>
    <mergeCell ref="J141:J142"/>
    <mergeCell ref="J127:J129"/>
    <mergeCell ref="B137:B142"/>
    <mergeCell ref="C139:H139"/>
    <mergeCell ref="B143:B148"/>
    <mergeCell ref="C145:H145"/>
    <mergeCell ref="B125:B130"/>
    <mergeCell ref="B134:B136"/>
    <mergeCell ref="J143:J145"/>
    <mergeCell ref="B105:B108"/>
    <mergeCell ref="B109:B112"/>
    <mergeCell ref="B117:B120"/>
    <mergeCell ref="B121:B124"/>
    <mergeCell ref="B58:B65"/>
    <mergeCell ref="B66:B67"/>
    <mergeCell ref="B68:B81"/>
    <mergeCell ref="B82:B86"/>
    <mergeCell ref="B113:B116"/>
    <mergeCell ref="Q117:Q120"/>
    <mergeCell ref="Q121:Q124"/>
    <mergeCell ref="R155:X155"/>
    <mergeCell ref="R156:U156"/>
    <mergeCell ref="V156:X156"/>
    <mergeCell ref="R157:U157"/>
    <mergeCell ref="V157:X157"/>
    <mergeCell ref="C155:G155"/>
    <mergeCell ref="C156:E156"/>
    <mergeCell ref="F156:G156"/>
    <mergeCell ref="C157:E157"/>
    <mergeCell ref="F157:G157"/>
    <mergeCell ref="Q149:Q150"/>
    <mergeCell ref="Q151:Q153"/>
    <mergeCell ref="Q125:Q130"/>
    <mergeCell ref="Q134:Q136"/>
    <mergeCell ref="Q137:Q142"/>
    <mergeCell ref="R139:Y139"/>
    <mergeCell ref="Q143:Q148"/>
    <mergeCell ref="R145:Y145"/>
    <mergeCell ref="Q131:Q133"/>
    <mergeCell ref="K147:N147"/>
    <mergeCell ref="K149:L149"/>
    <mergeCell ref="M149:N149"/>
  </mergeCells>
  <pageMargins left="0.7" right="0.7" top="0.75" bottom="0.75" header="0.3" footer="0.3"/>
  <pageSetup orientation="portrait" r:id="rId1"/>
  <headerFooter>
    <oddFooter>&amp;C&amp;D                                &amp;F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F66C86486554F9D4CF66B00E42A8E" ma:contentTypeVersion="15" ma:contentTypeDescription="Create a new document." ma:contentTypeScope="" ma:versionID="fc2d814e3cce8b6c3105d31c8c595833">
  <xsd:schema xmlns:xsd="http://www.w3.org/2001/XMLSchema" xmlns:xs="http://www.w3.org/2001/XMLSchema" xmlns:p="http://schemas.microsoft.com/office/2006/metadata/properties" xmlns:ns1="http://schemas.microsoft.com/sharepoint/v3" xmlns:ns3="12ba6907-f4f1-47f5-a170-c530dac6a716" xmlns:ns4="ef5b29aa-7cc9-4ad0-879f-9cde746c839e" targetNamespace="http://schemas.microsoft.com/office/2006/metadata/properties" ma:root="true" ma:fieldsID="2016f3226900f138823f3b70016c643d" ns1:_="" ns3:_="" ns4:_="">
    <xsd:import namespace="http://schemas.microsoft.com/sharepoint/v3"/>
    <xsd:import namespace="12ba6907-f4f1-47f5-a170-c530dac6a716"/>
    <xsd:import namespace="ef5b29aa-7cc9-4ad0-879f-9cde746c839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1:_ip_UnifiedCompliancePolicyProperties" minOccurs="0"/>
                <xsd:element ref="ns1:_ip_UnifiedCompliancePolicyUIAc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a6907-f4f1-47f5-a170-c530dac6a7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b29aa-7cc9-4ad0-879f-9cde746c8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FC51857-1F11-4F33-8873-BE6EDDD1B0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2ba6907-f4f1-47f5-a170-c530dac6a716"/>
    <ds:schemaRef ds:uri="ef5b29aa-7cc9-4ad0-879f-9cde746c8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1DD49D-BD21-4A96-9D39-E6F00672E0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DA8711-F577-4FD7-B346-E61A4CCE7BD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Magnetics Curve Fit Equations</vt:lpstr>
      <vt:lpstr>'Magnetics Curve Fit Equations'!Area_de_impressao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nteng</dc:creator>
  <cp:lastModifiedBy>Adolfo Araújo</cp:lastModifiedBy>
  <cp:lastPrinted>2017-08-16T15:05:02Z</cp:lastPrinted>
  <dcterms:created xsi:type="dcterms:W3CDTF">2011-02-25T18:59:42Z</dcterms:created>
  <dcterms:modified xsi:type="dcterms:W3CDTF">2024-04-08T21:05:00Z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0x010100920F66C86486554F9D4CF66B00E42A8E</vt:lpwstr>
  </property>
</Properties>
</file>